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28690" yWindow="-110" windowWidth="38620" windowHeight="211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1" l="1" a="1"/>
  <c r="T13" i="1" s="1"/>
  <c r="S26" i="1"/>
  <c r="O20" i="1"/>
  <c r="T16" i="1" a="1"/>
  <c r="T16" i="1" s="1"/>
  <c r="T15" i="1" a="1"/>
  <c r="T15" i="1" s="1"/>
  <c r="S15" i="1"/>
  <c r="F47" i="1"/>
  <c r="T14" i="1" a="1"/>
  <c r="T14" i="1" s="1"/>
  <c r="T17" i="1" a="1"/>
  <c r="T17" i="1" s="1"/>
  <c r="T18" i="1" a="1"/>
  <c r="T18" i="1" s="1"/>
  <c r="T19" i="1" a="1"/>
  <c r="T19" i="1" s="1"/>
  <c r="T20" i="1" a="1"/>
  <c r="T20" i="1" s="1"/>
  <c r="T21" i="1" a="1"/>
  <c r="T22" i="1" a="1"/>
  <c r="T22" i="1" s="1"/>
  <c r="T23" i="1" a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8" i="1" a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60" i="1" a="1"/>
  <c r="T60" i="1" s="1"/>
  <c r="T61" i="1" a="1"/>
  <c r="T61" i="1" s="1"/>
  <c r="T62" i="1" a="1"/>
  <c r="T63" i="1" a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6" i="1" a="1"/>
  <c r="T96" i="1" s="1"/>
  <c r="T97" i="1" a="1"/>
  <c r="T97" i="1" s="1"/>
  <c r="T98" i="1" a="1"/>
  <c r="T98" i="1" s="1"/>
  <c r="T99" i="1" a="1"/>
  <c r="T99" i="1" s="1"/>
  <c r="T100" i="1" a="1"/>
  <c r="T101" i="1" a="1"/>
  <c r="T101" i="1" s="1"/>
  <c r="T102" i="1" a="1"/>
  <c r="T102" i="1" s="1"/>
  <c r="T103" i="1" a="1"/>
  <c r="T103" i="1" s="1"/>
  <c r="T104" i="1" a="1"/>
  <c r="T104" i="1" s="1"/>
  <c r="T105" i="1" a="1"/>
  <c r="T105" i="1" s="1"/>
  <c r="T106" i="1" a="1"/>
  <c r="T106" i="1" s="1"/>
  <c r="T107" i="1" a="1"/>
  <c r="T108" i="1" a="1"/>
  <c r="T109" i="1" a="1"/>
  <c r="T109" i="1" s="1"/>
  <c r="T110" i="1" a="1"/>
  <c r="T110" i="1" s="1"/>
  <c r="T111" i="1" a="1"/>
  <c r="T111" i="1" s="1"/>
  <c r="T112" i="1" a="1"/>
  <c r="T112" i="1" s="1"/>
  <c r="T113" i="1" a="1"/>
  <c r="T1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20" i="1" a="1"/>
  <c r="K20" i="1" s="1"/>
  <c r="K21" i="1" a="1"/>
  <c r="K21" i="1" s="1"/>
  <c r="K22" i="1" a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4" i="1" a="1"/>
  <c r="K104" i="1" s="1"/>
  <c r="K105" i="1" a="1"/>
  <c r="K106" i="1" a="1"/>
  <c r="K106" i="1" s="1"/>
  <c r="K107" i="1" a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3" i="1" a="1"/>
  <c r="K13" i="1" s="1"/>
  <c r="S14" i="1"/>
  <c r="S16" i="1"/>
  <c r="S17" i="1"/>
  <c r="S18" i="1"/>
  <c r="S19" i="1"/>
  <c r="S20" i="1"/>
  <c r="S21" i="1"/>
  <c r="S22" i="1"/>
  <c r="S23" i="1"/>
  <c r="S24" i="1"/>
  <c r="S25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13" i="1"/>
  <c r="O14" i="1"/>
  <c r="O15" i="1"/>
  <c r="O16" i="1"/>
  <c r="O17" i="1"/>
  <c r="O18" i="1"/>
  <c r="O19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3" i="1"/>
  <c r="T108" i="1"/>
  <c r="T107" i="1"/>
  <c r="K107" i="1"/>
  <c r="K105" i="1"/>
  <c r="K103" i="1"/>
  <c r="T100" i="1"/>
  <c r="T95" i="1"/>
  <c r="K91" i="1"/>
  <c r="T83" i="1"/>
  <c r="K79" i="1"/>
  <c r="T71" i="1"/>
  <c r="K67" i="1"/>
  <c r="T63" i="1"/>
  <c r="T62" i="1"/>
  <c r="T59" i="1"/>
  <c r="K59" i="1"/>
  <c r="T48" i="1"/>
  <c r="T47" i="1"/>
  <c r="K43" i="1"/>
  <c r="T35" i="1"/>
  <c r="T23" i="1"/>
  <c r="K22" i="1"/>
  <c r="T21" i="1"/>
  <c r="K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<sst xmlns="http://schemas.openxmlformats.org/spreadsheetml/2006/main" count="17" uniqueCount="11">
  <si>
    <t>LPF</t>
  </si>
  <si>
    <t>U</t>
  </si>
  <si>
    <t>GNA</t>
  </si>
  <si>
    <t>MNA</t>
  </si>
  <si>
    <t>8788:8888:1</t>
  </si>
  <si>
    <t>z [L]</t>
  </si>
  <si>
    <t>uR [L]</t>
  </si>
  <si>
    <t>z/H [-]</t>
  </si>
  <si>
    <t>uR/max [-]</t>
  </si>
  <si>
    <t>This is a simple spreadsheet record of the 'correct' intended responses for both systems, obtained from similar models that did not exhibit the pathologies discussed in the paper.</t>
  </si>
  <si>
    <t>This spreadsheet is used by JCP_Fig1.m and is released 'as is' subject to the same 0BDS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</si>
</sst>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8FA543-0857-4E8E-BC8B-D30C396D00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MNA</c:v>
          </c:tx>
          <c:xVal>
            <c:numRef>
              <c:f>Sheet1!$F$13:$F$113</c:f>
              <c:numCache>
                <c:formatCode>General</c:formatCode>
                <c:ptCount val="101"/>
                <c:pt idx="0">
                  <c:v>0</c:v>
                </c:pt>
                <c:pt idx="1">
                  <c:v>0.124585</c:v>
                </c:pt>
                <c:pt idx="2">
                  <c:v>0.249169</c:v>
                </c:pt>
                <c:pt idx="3">
                  <c:v>0.37375399999999998</c:v>
                </c:pt>
                <c:pt idx="4">
                  <c:v>0.49833899999999998</c:v>
                </c:pt>
                <c:pt idx="5">
                  <c:v>0.62292400000000003</c:v>
                </c:pt>
                <c:pt idx="6">
                  <c:v>0.74750799999999995</c:v>
                </c:pt>
                <c:pt idx="7">
                  <c:v>0.87209300000000001</c:v>
                </c:pt>
                <c:pt idx="8">
                  <c:v>0.99667799999999995</c:v>
                </c:pt>
                <c:pt idx="9">
                  <c:v>1.1211800000000001</c:v>
                </c:pt>
                <c:pt idx="10">
                  <c:v>1.2427699999999999</c:v>
                </c:pt>
                <c:pt idx="11">
                  <c:v>1.2478800000000001</c:v>
                </c:pt>
                <c:pt idx="12">
                  <c:v>1.25509</c:v>
                </c:pt>
                <c:pt idx="13">
                  <c:v>1.2651699999999999</c:v>
                </c:pt>
                <c:pt idx="14">
                  <c:v>1.2787200000000001</c:v>
                </c:pt>
                <c:pt idx="15">
                  <c:v>1.2998700000000001</c:v>
                </c:pt>
                <c:pt idx="16">
                  <c:v>1.33185</c:v>
                </c:pt>
                <c:pt idx="17">
                  <c:v>1.3654299999999999</c:v>
                </c:pt>
                <c:pt idx="18">
                  <c:v>1.40029</c:v>
                </c:pt>
                <c:pt idx="19">
                  <c:v>1.4361200000000001</c:v>
                </c:pt>
                <c:pt idx="20">
                  <c:v>1.4753400000000001</c:v>
                </c:pt>
                <c:pt idx="21">
                  <c:v>1.5141100000000001</c:v>
                </c:pt>
                <c:pt idx="22">
                  <c:v>1.55318</c:v>
                </c:pt>
                <c:pt idx="23">
                  <c:v>1.5931599999999999</c:v>
                </c:pt>
                <c:pt idx="24">
                  <c:v>1.63388</c:v>
                </c:pt>
                <c:pt idx="25">
                  <c:v>1.67526</c:v>
                </c:pt>
                <c:pt idx="26">
                  <c:v>1.7173700000000001</c:v>
                </c:pt>
                <c:pt idx="27">
                  <c:v>1.7601599999999999</c:v>
                </c:pt>
                <c:pt idx="28">
                  <c:v>1.80358</c:v>
                </c:pt>
                <c:pt idx="29">
                  <c:v>1.84758</c:v>
                </c:pt>
                <c:pt idx="30">
                  <c:v>1.89228</c:v>
                </c:pt>
                <c:pt idx="31">
                  <c:v>1.93773</c:v>
                </c:pt>
                <c:pt idx="32">
                  <c:v>1.9837400000000001</c:v>
                </c:pt>
                <c:pt idx="33">
                  <c:v>2.03023</c:v>
                </c:pt>
                <c:pt idx="34">
                  <c:v>2.0772400000000002</c:v>
                </c:pt>
                <c:pt idx="35">
                  <c:v>2.1247199999999999</c:v>
                </c:pt>
                <c:pt idx="36">
                  <c:v>2.1726299999999998</c:v>
                </c:pt>
                <c:pt idx="37">
                  <c:v>2.1823700000000001</c:v>
                </c:pt>
                <c:pt idx="38">
                  <c:v>2.1829399999999999</c:v>
                </c:pt>
                <c:pt idx="39">
                  <c:v>2.1926000000000001</c:v>
                </c:pt>
                <c:pt idx="40">
                  <c:v>2.1931699999999998</c:v>
                </c:pt>
                <c:pt idx="41">
                  <c:v>2.2014200000000002</c:v>
                </c:pt>
                <c:pt idx="42">
                  <c:v>2.2019799999999998</c:v>
                </c:pt>
                <c:pt idx="43">
                  <c:v>2.2019899999999999</c:v>
                </c:pt>
                <c:pt idx="44">
                  <c:v>2.20201</c:v>
                </c:pt>
                <c:pt idx="45">
                  <c:v>2.2020200000000001</c:v>
                </c:pt>
                <c:pt idx="46">
                  <c:v>2.2020400000000002</c:v>
                </c:pt>
                <c:pt idx="47">
                  <c:v>2.2020400000000002</c:v>
                </c:pt>
                <c:pt idx="48">
                  <c:v>2.2020400000000002</c:v>
                </c:pt>
                <c:pt idx="49">
                  <c:v>2.2020400000000002</c:v>
                </c:pt>
                <c:pt idx="50">
                  <c:v>2.2020400000000002</c:v>
                </c:pt>
                <c:pt idx="51">
                  <c:v>2.2020499999999998</c:v>
                </c:pt>
                <c:pt idx="52">
                  <c:v>2.2020499999999998</c:v>
                </c:pt>
                <c:pt idx="53">
                  <c:v>2.2020599999999999</c:v>
                </c:pt>
                <c:pt idx="54">
                  <c:v>2.2020599999999999</c:v>
                </c:pt>
                <c:pt idx="55">
                  <c:v>2.2020599999999999</c:v>
                </c:pt>
                <c:pt idx="56">
                  <c:v>2.2020599999999999</c:v>
                </c:pt>
                <c:pt idx="57">
                  <c:v>2.2020599999999999</c:v>
                </c:pt>
                <c:pt idx="58">
                  <c:v>2.2020599999999999</c:v>
                </c:pt>
                <c:pt idx="59">
                  <c:v>2.2020599999999999</c:v>
                </c:pt>
                <c:pt idx="60">
                  <c:v>2.2020599999999999</c:v>
                </c:pt>
                <c:pt idx="61">
                  <c:v>2.2020599999999999</c:v>
                </c:pt>
                <c:pt idx="62">
                  <c:v>2.2020599999999999</c:v>
                </c:pt>
                <c:pt idx="63">
                  <c:v>2.2020599999999999</c:v>
                </c:pt>
                <c:pt idx="64">
                  <c:v>2.2020599999999999</c:v>
                </c:pt>
                <c:pt idx="65">
                  <c:v>2.2020599999999999</c:v>
                </c:pt>
                <c:pt idx="66">
                  <c:v>2.2020599999999999</c:v>
                </c:pt>
                <c:pt idx="67">
                  <c:v>2.2020599999999999</c:v>
                </c:pt>
                <c:pt idx="68">
                  <c:v>2.2020599999999999</c:v>
                </c:pt>
                <c:pt idx="69">
                  <c:v>2.2020599999999999</c:v>
                </c:pt>
                <c:pt idx="70">
                  <c:v>2.2020599999999999</c:v>
                </c:pt>
                <c:pt idx="71">
                  <c:v>2.2020599999999999</c:v>
                </c:pt>
                <c:pt idx="72">
                  <c:v>2.2020599999999999</c:v>
                </c:pt>
                <c:pt idx="73">
                  <c:v>2.2020599999999999</c:v>
                </c:pt>
                <c:pt idx="74">
                  <c:v>2.2020599999999999</c:v>
                </c:pt>
                <c:pt idx="75">
                  <c:v>2.2020599999999999</c:v>
                </c:pt>
              </c:numCache>
            </c:numRef>
          </c:xVal>
          <c:yVal>
            <c:numRef>
              <c:f>Sheet1!$D$13:$D$113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0.89979100000000001</c:v>
                </c:pt>
                <c:pt idx="10">
                  <c:v>0.98974799999999996</c:v>
                </c:pt>
                <c:pt idx="11">
                  <c:v>0.99163299999999999</c:v>
                </c:pt>
                <c:pt idx="12">
                  <c:v>0.99372899999999997</c:v>
                </c:pt>
                <c:pt idx="13">
                  <c:v>0.99580800000000003</c:v>
                </c:pt>
                <c:pt idx="14">
                  <c:v>0.99709999999999999</c:v>
                </c:pt>
                <c:pt idx="15">
                  <c:v>0.99821199999999999</c:v>
                </c:pt>
                <c:pt idx="16">
                  <c:v>0.99892199999999998</c:v>
                </c:pt>
                <c:pt idx="17">
                  <c:v>0.99928300000000003</c:v>
                </c:pt>
                <c:pt idx="18">
                  <c:v>0.99946199999999996</c:v>
                </c:pt>
                <c:pt idx="19">
                  <c:v>0.99957600000000002</c:v>
                </c:pt>
                <c:pt idx="20">
                  <c:v>0.999664</c:v>
                </c:pt>
                <c:pt idx="21">
                  <c:v>0.99971200000000005</c:v>
                </c:pt>
                <c:pt idx="22">
                  <c:v>0.99974600000000002</c:v>
                </c:pt>
                <c:pt idx="23">
                  <c:v>0.99977400000000005</c:v>
                </c:pt>
                <c:pt idx="24">
                  <c:v>0.99979899999999999</c:v>
                </c:pt>
                <c:pt idx="25">
                  <c:v>0.99982099999999996</c:v>
                </c:pt>
                <c:pt idx="26">
                  <c:v>0.99983999999999995</c:v>
                </c:pt>
                <c:pt idx="27">
                  <c:v>0.99985599999999997</c:v>
                </c:pt>
                <c:pt idx="28">
                  <c:v>0.99987099999999995</c:v>
                </c:pt>
                <c:pt idx="29">
                  <c:v>0.999884</c:v>
                </c:pt>
                <c:pt idx="30">
                  <c:v>0.99989499999999998</c:v>
                </c:pt>
                <c:pt idx="31">
                  <c:v>0.99990500000000004</c:v>
                </c:pt>
                <c:pt idx="32">
                  <c:v>0.99991399999999997</c:v>
                </c:pt>
                <c:pt idx="33">
                  <c:v>0.99992199999999998</c:v>
                </c:pt>
                <c:pt idx="34">
                  <c:v>0.99992899999999996</c:v>
                </c:pt>
                <c:pt idx="35">
                  <c:v>0.99993600000000005</c:v>
                </c:pt>
                <c:pt idx="36">
                  <c:v>0.99994099999999997</c:v>
                </c:pt>
                <c:pt idx="37">
                  <c:v>0.99994300000000003</c:v>
                </c:pt>
                <c:pt idx="38">
                  <c:v>0.99994300000000003</c:v>
                </c:pt>
                <c:pt idx="39">
                  <c:v>0.99994400000000006</c:v>
                </c:pt>
                <c:pt idx="40">
                  <c:v>0.99994400000000006</c:v>
                </c:pt>
                <c:pt idx="41">
                  <c:v>0.99994499999999997</c:v>
                </c:pt>
                <c:pt idx="42">
                  <c:v>0.99994499999999997</c:v>
                </c:pt>
                <c:pt idx="43">
                  <c:v>0.99995500000000004</c:v>
                </c:pt>
                <c:pt idx="44">
                  <c:v>0.99996600000000002</c:v>
                </c:pt>
                <c:pt idx="45">
                  <c:v>0.999977</c:v>
                </c:pt>
                <c:pt idx="46">
                  <c:v>0.99998900000000002</c:v>
                </c:pt>
                <c:pt idx="47">
                  <c:v>0.99998900000000002</c:v>
                </c:pt>
                <c:pt idx="48">
                  <c:v>0.99999000000000005</c:v>
                </c:pt>
                <c:pt idx="49">
                  <c:v>0.99999099999999996</c:v>
                </c:pt>
                <c:pt idx="50">
                  <c:v>0.99998900000000002</c:v>
                </c:pt>
                <c:pt idx="51">
                  <c:v>0.99999099999999996</c:v>
                </c:pt>
                <c:pt idx="52">
                  <c:v>0.99999400000000005</c:v>
                </c:pt>
                <c:pt idx="53">
                  <c:v>0.99999700000000002</c:v>
                </c:pt>
                <c:pt idx="54">
                  <c:v>0.99999800000000005</c:v>
                </c:pt>
                <c:pt idx="55">
                  <c:v>0.99999800000000005</c:v>
                </c:pt>
                <c:pt idx="56">
                  <c:v>0.99999800000000005</c:v>
                </c:pt>
                <c:pt idx="57">
                  <c:v>0.99999800000000005</c:v>
                </c:pt>
                <c:pt idx="58">
                  <c:v>0.99999899999999997</c:v>
                </c:pt>
                <c:pt idx="59">
                  <c:v>0.99999899999999997</c:v>
                </c:pt>
                <c:pt idx="60">
                  <c:v>0.99999899999999997</c:v>
                </c:pt>
                <c:pt idx="61">
                  <c:v>0.99999899999999997</c:v>
                </c:pt>
                <c:pt idx="62">
                  <c:v>0.99999899999999997</c:v>
                </c:pt>
                <c:pt idx="63">
                  <c:v>0.99999899999999997</c:v>
                </c:pt>
                <c:pt idx="64">
                  <c:v>0.99999899999999997</c:v>
                </c:pt>
                <c:pt idx="65">
                  <c:v>0.99999899999999997</c:v>
                </c:pt>
                <c:pt idx="66">
                  <c:v>0.99999899999999997</c:v>
                </c:pt>
                <c:pt idx="67">
                  <c:v>0.99999899999999997</c:v>
                </c:pt>
                <c:pt idx="68">
                  <c:v>0.99999899999999997</c:v>
                </c:pt>
                <c:pt idx="69">
                  <c:v>0.99999899999999997</c:v>
                </c:pt>
                <c:pt idx="70">
                  <c:v>0.99999899999999997</c:v>
                </c:pt>
                <c:pt idx="71">
                  <c:v>0.99999899999999997</c:v>
                </c:pt>
                <c:pt idx="72">
                  <c:v>0.99999899999999997</c:v>
                </c:pt>
                <c:pt idx="73">
                  <c:v>0.99999899999999997</c:v>
                </c:pt>
                <c:pt idx="74">
                  <c:v>0.99999899999999997</c:v>
                </c:pt>
                <c:pt idx="75">
                  <c:v>0.99999899999999997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DB-48F8-9EE6-279915AAE95B}"/>
            </c:ext>
          </c:extLst>
        </c:ser>
        <c:ser>
          <c:idx val="0"/>
          <c:order val="1"/>
          <c:tx>
            <c:v>GNA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Sheet1!$O$13:$O$113</c:f>
              <c:numCache>
                <c:formatCode>General</c:formatCode>
                <c:ptCount val="101"/>
                <c:pt idx="0">
                  <c:v>0</c:v>
                </c:pt>
                <c:pt idx="1">
                  <c:v>0.120502</c:v>
                </c:pt>
                <c:pt idx="2">
                  <c:v>0.24074599999999999</c:v>
                </c:pt>
                <c:pt idx="3">
                  <c:v>0.36052800000000002</c:v>
                </c:pt>
                <c:pt idx="4">
                  <c:v>0.47878300000000001</c:v>
                </c:pt>
                <c:pt idx="5">
                  <c:v>0.58701700000000001</c:v>
                </c:pt>
                <c:pt idx="6">
                  <c:v>0.63790999999999998</c:v>
                </c:pt>
                <c:pt idx="7">
                  <c:v>0.68946200000000002</c:v>
                </c:pt>
                <c:pt idx="8">
                  <c:v>0.75357200000000002</c:v>
                </c:pt>
                <c:pt idx="9">
                  <c:v>0.83135700000000001</c:v>
                </c:pt>
                <c:pt idx="10">
                  <c:v>0.922319</c:v>
                </c:pt>
                <c:pt idx="11">
                  <c:v>1.02539</c:v>
                </c:pt>
                <c:pt idx="12">
                  <c:v>1.1392899999999999</c:v>
                </c:pt>
                <c:pt idx="13">
                  <c:v>1.2628200000000001</c:v>
                </c:pt>
                <c:pt idx="14">
                  <c:v>1.3948700000000001</c:v>
                </c:pt>
                <c:pt idx="15">
                  <c:v>1.5343100000000001</c:v>
                </c:pt>
                <c:pt idx="16">
                  <c:v>1.6804300000000001</c:v>
                </c:pt>
                <c:pt idx="17">
                  <c:v>1.83253</c:v>
                </c:pt>
                <c:pt idx="18">
                  <c:v>1.9899899999999999</c:v>
                </c:pt>
                <c:pt idx="19">
                  <c:v>2.1523400000000001</c:v>
                </c:pt>
                <c:pt idx="20">
                  <c:v>2.3190300000000001</c:v>
                </c:pt>
                <c:pt idx="21">
                  <c:v>2.49193</c:v>
                </c:pt>
                <c:pt idx="22">
                  <c:v>2.49193</c:v>
                </c:pt>
                <c:pt idx="23">
                  <c:v>2.49193</c:v>
                </c:pt>
                <c:pt idx="24">
                  <c:v>2.49193</c:v>
                </c:pt>
                <c:pt idx="25">
                  <c:v>2.49193</c:v>
                </c:pt>
                <c:pt idx="26">
                  <c:v>2.49193</c:v>
                </c:pt>
                <c:pt idx="27">
                  <c:v>2.49193</c:v>
                </c:pt>
                <c:pt idx="28">
                  <c:v>2.49193</c:v>
                </c:pt>
                <c:pt idx="29">
                  <c:v>2.49193</c:v>
                </c:pt>
                <c:pt idx="30">
                  <c:v>2.49193</c:v>
                </c:pt>
                <c:pt idx="31">
                  <c:v>2.49193</c:v>
                </c:pt>
                <c:pt idx="32">
                  <c:v>2.49193</c:v>
                </c:pt>
                <c:pt idx="33">
                  <c:v>2.49193</c:v>
                </c:pt>
                <c:pt idx="34">
                  <c:v>2.49193</c:v>
                </c:pt>
                <c:pt idx="35">
                  <c:v>2.49193</c:v>
                </c:pt>
                <c:pt idx="36">
                  <c:v>2.49193</c:v>
                </c:pt>
                <c:pt idx="37">
                  <c:v>2.49193</c:v>
                </c:pt>
                <c:pt idx="38">
                  <c:v>2.49193</c:v>
                </c:pt>
                <c:pt idx="39">
                  <c:v>2.49193</c:v>
                </c:pt>
                <c:pt idx="40">
                  <c:v>2.49193</c:v>
                </c:pt>
                <c:pt idx="41">
                  <c:v>2.49193</c:v>
                </c:pt>
                <c:pt idx="42">
                  <c:v>2.49193</c:v>
                </c:pt>
                <c:pt idx="43">
                  <c:v>2.49193</c:v>
                </c:pt>
                <c:pt idx="44">
                  <c:v>2.49193</c:v>
                </c:pt>
                <c:pt idx="45">
                  <c:v>2.49193</c:v>
                </c:pt>
                <c:pt idx="46">
                  <c:v>2.49193</c:v>
                </c:pt>
                <c:pt idx="47">
                  <c:v>2.49193</c:v>
                </c:pt>
                <c:pt idx="48">
                  <c:v>2.49193</c:v>
                </c:pt>
                <c:pt idx="49">
                  <c:v>2.49193</c:v>
                </c:pt>
                <c:pt idx="50">
                  <c:v>2.49193</c:v>
                </c:pt>
                <c:pt idx="51">
                  <c:v>2.49193</c:v>
                </c:pt>
                <c:pt idx="52">
                  <c:v>2.49193</c:v>
                </c:pt>
                <c:pt idx="53">
                  <c:v>2.49193</c:v>
                </c:pt>
                <c:pt idx="54">
                  <c:v>2.49193</c:v>
                </c:pt>
                <c:pt idx="55">
                  <c:v>2.49193</c:v>
                </c:pt>
                <c:pt idx="56">
                  <c:v>2.49193</c:v>
                </c:pt>
                <c:pt idx="57">
                  <c:v>2.49193</c:v>
                </c:pt>
                <c:pt idx="58">
                  <c:v>2.49193</c:v>
                </c:pt>
                <c:pt idx="59">
                  <c:v>2.49193</c:v>
                </c:pt>
                <c:pt idx="60">
                  <c:v>2.49193</c:v>
                </c:pt>
                <c:pt idx="61">
                  <c:v>2.49193</c:v>
                </c:pt>
                <c:pt idx="62">
                  <c:v>2.49193</c:v>
                </c:pt>
                <c:pt idx="63">
                  <c:v>2.49193</c:v>
                </c:pt>
                <c:pt idx="64">
                  <c:v>2.49193</c:v>
                </c:pt>
                <c:pt idx="65">
                  <c:v>2.49193</c:v>
                </c:pt>
                <c:pt idx="66">
                  <c:v>2.49193</c:v>
                </c:pt>
                <c:pt idx="67">
                  <c:v>2.49193</c:v>
                </c:pt>
                <c:pt idx="68">
                  <c:v>2.49193</c:v>
                </c:pt>
                <c:pt idx="69">
                  <c:v>2.49193</c:v>
                </c:pt>
                <c:pt idx="70">
                  <c:v>2.49193</c:v>
                </c:pt>
                <c:pt idx="71">
                  <c:v>2.49193</c:v>
                </c:pt>
                <c:pt idx="72">
                  <c:v>2.49193</c:v>
                </c:pt>
                <c:pt idx="73">
                  <c:v>2.49193</c:v>
                </c:pt>
                <c:pt idx="74">
                  <c:v>2.49193</c:v>
                </c:pt>
                <c:pt idx="75">
                  <c:v>2.49193</c:v>
                </c:pt>
                <c:pt idx="76">
                  <c:v>2.49193</c:v>
                </c:pt>
                <c:pt idx="77">
                  <c:v>2.49193</c:v>
                </c:pt>
                <c:pt idx="78">
                  <c:v>2.49193</c:v>
                </c:pt>
                <c:pt idx="79">
                  <c:v>2.49193</c:v>
                </c:pt>
                <c:pt idx="80">
                  <c:v>2.49193</c:v>
                </c:pt>
                <c:pt idx="81">
                  <c:v>2.49193</c:v>
                </c:pt>
                <c:pt idx="82">
                  <c:v>2.49193</c:v>
                </c:pt>
                <c:pt idx="83">
                  <c:v>2.49193</c:v>
                </c:pt>
                <c:pt idx="84">
                  <c:v>2.49193</c:v>
                </c:pt>
                <c:pt idx="85">
                  <c:v>2.49193</c:v>
                </c:pt>
                <c:pt idx="86">
                  <c:v>2.49194</c:v>
                </c:pt>
                <c:pt idx="87">
                  <c:v>2.49194</c:v>
                </c:pt>
                <c:pt idx="88">
                  <c:v>2.49194</c:v>
                </c:pt>
                <c:pt idx="89">
                  <c:v>2.49194</c:v>
                </c:pt>
                <c:pt idx="90">
                  <c:v>2.49194</c:v>
                </c:pt>
                <c:pt idx="91">
                  <c:v>2.49194</c:v>
                </c:pt>
                <c:pt idx="92">
                  <c:v>2.49194</c:v>
                </c:pt>
                <c:pt idx="93">
                  <c:v>2.49194</c:v>
                </c:pt>
                <c:pt idx="94">
                  <c:v>2.49194</c:v>
                </c:pt>
                <c:pt idx="95">
                  <c:v>2.49194</c:v>
                </c:pt>
                <c:pt idx="96">
                  <c:v>2.49194</c:v>
                </c:pt>
                <c:pt idx="97">
                  <c:v>2.49194</c:v>
                </c:pt>
                <c:pt idx="98">
                  <c:v>2.49194</c:v>
                </c:pt>
                <c:pt idx="99">
                  <c:v>2.49194</c:v>
                </c:pt>
                <c:pt idx="100">
                  <c:v>2.49194</c:v>
                </c:pt>
              </c:numCache>
            </c:numRef>
          </c:xVal>
          <c:yVal>
            <c:numRef>
              <c:f>Sheet1!$M$13:$M$113</c:f>
              <c:numCache>
                <c:formatCode>General</c:formatCode>
                <c:ptCount val="101"/>
                <c:pt idx="0">
                  <c:v>0</c:v>
                </c:pt>
                <c:pt idx="1">
                  <c:v>0.19969300000000001</c:v>
                </c:pt>
                <c:pt idx="2">
                  <c:v>0.39855600000000002</c:v>
                </c:pt>
                <c:pt idx="3">
                  <c:v>0.59589800000000004</c:v>
                </c:pt>
                <c:pt idx="4">
                  <c:v>0.78849499999999995</c:v>
                </c:pt>
                <c:pt idx="5">
                  <c:v>0.94569899999999996</c:v>
                </c:pt>
                <c:pt idx="6">
                  <c:v>0.97770100000000004</c:v>
                </c:pt>
                <c:pt idx="7">
                  <c:v>0.98780900000000005</c:v>
                </c:pt>
                <c:pt idx="8">
                  <c:v>0.99306000000000005</c:v>
                </c:pt>
                <c:pt idx="9">
                  <c:v>0.99639800000000001</c:v>
                </c:pt>
                <c:pt idx="10">
                  <c:v>0.99882700000000002</c:v>
                </c:pt>
                <c:pt idx="11">
                  <c:v>1.00075</c:v>
                </c:pt>
                <c:pt idx="12">
                  <c:v>1.00238</c:v>
                </c:pt>
                <c:pt idx="13">
                  <c:v>1.00383</c:v>
                </c:pt>
                <c:pt idx="14">
                  <c:v>1.0051600000000001</c:v>
                </c:pt>
                <c:pt idx="15">
                  <c:v>1.0064200000000001</c:v>
                </c:pt>
                <c:pt idx="16">
                  <c:v>1.0076400000000001</c:v>
                </c:pt>
                <c:pt idx="17">
                  <c:v>1.0088299999999999</c:v>
                </c:pt>
                <c:pt idx="18">
                  <c:v>1.01</c:v>
                </c:pt>
                <c:pt idx="19">
                  <c:v>1.0111699999999999</c:v>
                </c:pt>
                <c:pt idx="20">
                  <c:v>1.01234</c:v>
                </c:pt>
                <c:pt idx="21">
                  <c:v>1.01352</c:v>
                </c:pt>
                <c:pt idx="22">
                  <c:v>1.01352</c:v>
                </c:pt>
                <c:pt idx="23">
                  <c:v>1.01352</c:v>
                </c:pt>
                <c:pt idx="24">
                  <c:v>1.01352</c:v>
                </c:pt>
                <c:pt idx="25">
                  <c:v>1.01352</c:v>
                </c:pt>
                <c:pt idx="26">
                  <c:v>1.01352</c:v>
                </c:pt>
                <c:pt idx="27">
                  <c:v>1.01352</c:v>
                </c:pt>
                <c:pt idx="28">
                  <c:v>1.01352</c:v>
                </c:pt>
                <c:pt idx="29">
                  <c:v>1.01352</c:v>
                </c:pt>
                <c:pt idx="30">
                  <c:v>1.01352</c:v>
                </c:pt>
                <c:pt idx="31">
                  <c:v>1.01352</c:v>
                </c:pt>
                <c:pt idx="32">
                  <c:v>1.01352</c:v>
                </c:pt>
                <c:pt idx="33">
                  <c:v>1.01352</c:v>
                </c:pt>
                <c:pt idx="34">
                  <c:v>1.01352</c:v>
                </c:pt>
                <c:pt idx="35">
                  <c:v>1.01352</c:v>
                </c:pt>
                <c:pt idx="36">
                  <c:v>1.01352</c:v>
                </c:pt>
                <c:pt idx="37">
                  <c:v>1.01352</c:v>
                </c:pt>
                <c:pt idx="38">
                  <c:v>1.01352</c:v>
                </c:pt>
                <c:pt idx="39">
                  <c:v>1.01352</c:v>
                </c:pt>
                <c:pt idx="40">
                  <c:v>1.01352</c:v>
                </c:pt>
                <c:pt idx="41">
                  <c:v>1.01352</c:v>
                </c:pt>
                <c:pt idx="42">
                  <c:v>1.01352</c:v>
                </c:pt>
                <c:pt idx="43">
                  <c:v>1.01352</c:v>
                </c:pt>
                <c:pt idx="44">
                  <c:v>1.01352</c:v>
                </c:pt>
                <c:pt idx="45">
                  <c:v>1.01352</c:v>
                </c:pt>
                <c:pt idx="46">
                  <c:v>1.01352</c:v>
                </c:pt>
                <c:pt idx="47">
                  <c:v>1.01352</c:v>
                </c:pt>
                <c:pt idx="48">
                  <c:v>1.01352</c:v>
                </c:pt>
                <c:pt idx="49">
                  <c:v>1.01352</c:v>
                </c:pt>
                <c:pt idx="50">
                  <c:v>1.01352</c:v>
                </c:pt>
                <c:pt idx="51">
                  <c:v>1.01352</c:v>
                </c:pt>
                <c:pt idx="52">
                  <c:v>1.01352</c:v>
                </c:pt>
                <c:pt idx="53">
                  <c:v>1.01352</c:v>
                </c:pt>
                <c:pt idx="54">
                  <c:v>1.01352</c:v>
                </c:pt>
                <c:pt idx="55">
                  <c:v>1.01352</c:v>
                </c:pt>
                <c:pt idx="56">
                  <c:v>1.01352</c:v>
                </c:pt>
                <c:pt idx="57">
                  <c:v>1.01352</c:v>
                </c:pt>
                <c:pt idx="58">
                  <c:v>1.01352</c:v>
                </c:pt>
                <c:pt idx="59">
                  <c:v>1.01352</c:v>
                </c:pt>
                <c:pt idx="60">
                  <c:v>1.01352</c:v>
                </c:pt>
                <c:pt idx="61">
                  <c:v>1.01352</c:v>
                </c:pt>
                <c:pt idx="62">
                  <c:v>1.01352</c:v>
                </c:pt>
                <c:pt idx="63">
                  <c:v>1.01352</c:v>
                </c:pt>
                <c:pt idx="64">
                  <c:v>1.01352</c:v>
                </c:pt>
                <c:pt idx="65">
                  <c:v>1.01352</c:v>
                </c:pt>
                <c:pt idx="66">
                  <c:v>1.01352</c:v>
                </c:pt>
                <c:pt idx="67">
                  <c:v>1.01352</c:v>
                </c:pt>
                <c:pt idx="68">
                  <c:v>1.01352</c:v>
                </c:pt>
                <c:pt idx="69">
                  <c:v>1.01352</c:v>
                </c:pt>
                <c:pt idx="70">
                  <c:v>1.01352</c:v>
                </c:pt>
                <c:pt idx="71">
                  <c:v>1.01352</c:v>
                </c:pt>
                <c:pt idx="72">
                  <c:v>1.01352</c:v>
                </c:pt>
                <c:pt idx="73">
                  <c:v>1.01352</c:v>
                </c:pt>
                <c:pt idx="74">
                  <c:v>1.01352</c:v>
                </c:pt>
                <c:pt idx="75">
                  <c:v>1.01352</c:v>
                </c:pt>
                <c:pt idx="76">
                  <c:v>1.01352</c:v>
                </c:pt>
                <c:pt idx="77">
                  <c:v>1.01352</c:v>
                </c:pt>
                <c:pt idx="78">
                  <c:v>1.01352</c:v>
                </c:pt>
                <c:pt idx="79">
                  <c:v>1.01352</c:v>
                </c:pt>
                <c:pt idx="80">
                  <c:v>1.01352</c:v>
                </c:pt>
                <c:pt idx="81">
                  <c:v>1.01352</c:v>
                </c:pt>
                <c:pt idx="82">
                  <c:v>1.01352</c:v>
                </c:pt>
                <c:pt idx="83">
                  <c:v>1.01352</c:v>
                </c:pt>
                <c:pt idx="84">
                  <c:v>1.01352</c:v>
                </c:pt>
                <c:pt idx="85">
                  <c:v>1.01352</c:v>
                </c:pt>
                <c:pt idx="86">
                  <c:v>1.01352</c:v>
                </c:pt>
                <c:pt idx="87">
                  <c:v>1.01352</c:v>
                </c:pt>
                <c:pt idx="88">
                  <c:v>1.01352</c:v>
                </c:pt>
                <c:pt idx="89">
                  <c:v>1.01352</c:v>
                </c:pt>
                <c:pt idx="90">
                  <c:v>1.01352</c:v>
                </c:pt>
                <c:pt idx="91">
                  <c:v>1.01352</c:v>
                </c:pt>
                <c:pt idx="92">
                  <c:v>1.01352</c:v>
                </c:pt>
                <c:pt idx="93">
                  <c:v>1.01352</c:v>
                </c:pt>
                <c:pt idx="94">
                  <c:v>1.01352</c:v>
                </c:pt>
                <c:pt idx="95">
                  <c:v>1.01352</c:v>
                </c:pt>
                <c:pt idx="96">
                  <c:v>1.01352</c:v>
                </c:pt>
                <c:pt idx="97">
                  <c:v>1.01352</c:v>
                </c:pt>
                <c:pt idx="98">
                  <c:v>1.01352</c:v>
                </c:pt>
                <c:pt idx="99">
                  <c:v>1.01352</c:v>
                </c:pt>
                <c:pt idx="100">
                  <c:v>1.01352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DB-48F8-9EE6-279915AAE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98783"/>
        <c:axId val="1631118895"/>
      </c:scatterChart>
      <c:valAx>
        <c:axId val="164389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End shortening [L]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31118895"/>
        <c:crosses val="autoZero"/>
        <c:crossBetween val="midCat"/>
      </c:valAx>
      <c:valAx>
        <c:axId val="163111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Load proportionality factor (LPF) [-]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438987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MNA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Sheet1!$K$13:$K$113</c:f>
              <c:numCache>
                <c:formatCode>0.00E+00</c:formatCode>
                <c:ptCount val="101"/>
                <c:pt idx="0">
                  <c:v>0</c:v>
                </c:pt>
                <c:pt idx="1">
                  <c:v>0.20240806885465396</c:v>
                </c:pt>
                <c:pt idx="2">
                  <c:v>0.39525521841789835</c:v>
                </c:pt>
                <c:pt idx="3">
                  <c:v>0.56534898357606433</c:v>
                </c:pt>
                <c:pt idx="4">
                  <c:v>0.70595663311325174</c:v>
                </c:pt>
                <c:pt idx="5">
                  <c:v>0.81574484973121186</c:v>
                </c:pt>
                <c:pt idx="6">
                  <c:v>0.89671401025443676</c:v>
                </c:pt>
                <c:pt idx="7">
                  <c:v>0.95212725443269863</c:v>
                </c:pt>
                <c:pt idx="8">
                  <c:v>0.98542811671938202</c:v>
                </c:pt>
                <c:pt idx="9">
                  <c:v>1</c:v>
                </c:pt>
                <c:pt idx="10">
                  <c:v>0.99906595631241146</c:v>
                </c:pt>
                <c:pt idx="11">
                  <c:v>0.98561652896537622</c:v>
                </c:pt>
                <c:pt idx="12">
                  <c:v>0.96230953325877022</c:v>
                </c:pt>
                <c:pt idx="13">
                  <c:v>0.93149010033954294</c:v>
                </c:pt>
                <c:pt idx="14">
                  <c:v>0.89514658071861219</c:v>
                </c:pt>
                <c:pt idx="15">
                  <c:v>0.85495864952516099</c:v>
                </c:pt>
                <c:pt idx="16">
                  <c:v>0.81230532404901923</c:v>
                </c:pt>
                <c:pt idx="17">
                  <c:v>0.76830505145257821</c:v>
                </c:pt>
                <c:pt idx="18">
                  <c:v>0.72386381402508693</c:v>
                </c:pt>
                <c:pt idx="19">
                  <c:v>0.67969116426741705</c:v>
                </c:pt>
                <c:pt idx="20">
                  <c:v>0.6363403126039775</c:v>
                </c:pt>
                <c:pt idx="21">
                  <c:v>0.59424019755224433</c:v>
                </c:pt>
                <c:pt idx="22">
                  <c:v>0.55369949449395273</c:v>
                </c:pt>
                <c:pt idx="23">
                  <c:v>0.5149507121582021</c:v>
                </c:pt>
                <c:pt idx="24">
                  <c:v>0.47815821016383842</c:v>
                </c:pt>
                <c:pt idx="25">
                  <c:v>0.44342220779064595</c:v>
                </c:pt>
                <c:pt idx="26">
                  <c:v>0.41081085414887775</c:v>
                </c:pt>
                <c:pt idx="27">
                  <c:v>0.38035100800551602</c:v>
                </c:pt>
                <c:pt idx="28">
                  <c:v>0.35204828164022878</c:v>
                </c:pt>
                <c:pt idx="29">
                  <c:v>0.32588864435384618</c:v>
                </c:pt>
                <c:pt idx="30">
                  <c:v>0.3018432329937904</c:v>
                </c:pt>
                <c:pt idx="31">
                  <c:v>0.279872761602386</c:v>
                </c:pt>
                <c:pt idx="32">
                  <c:v>0.25992952580245576</c:v>
                </c:pt>
                <c:pt idx="33">
                  <c:v>0.24195860542867795</c:v>
                </c:pt>
                <c:pt idx="34">
                  <c:v>0.22589986891318201</c:v>
                </c:pt>
                <c:pt idx="35">
                  <c:v>0.21167634784909378</c:v>
                </c:pt>
                <c:pt idx="36">
                  <c:v>0.19921828961768348</c:v>
                </c:pt>
                <c:pt idx="37">
                  <c:v>0.18845113107479164</c:v>
                </c:pt>
                <c:pt idx="38">
                  <c:v>0.17928427399149338</c:v>
                </c:pt>
                <c:pt idx="39">
                  <c:v>0.17162712013886383</c:v>
                </c:pt>
                <c:pt idx="40">
                  <c:v>0.16538225637695275</c:v>
                </c:pt>
                <c:pt idx="41">
                  <c:v>0.16044224763783155</c:v>
                </c:pt>
                <c:pt idx="42">
                  <c:v>0.15668963692559321</c:v>
                </c:pt>
                <c:pt idx="43">
                  <c:v>0.15399413917651822</c:v>
                </c:pt>
                <c:pt idx="44">
                  <c:v>0.15220983511924088</c:v>
                </c:pt>
                <c:pt idx="45">
                  <c:v>0.15115953706710283</c:v>
                </c:pt>
                <c:pt idx="46">
                  <c:v>0.15061795207914919</c:v>
                </c:pt>
                <c:pt idx="47">
                  <c:v>0.15037461966783322</c:v>
                </c:pt>
                <c:pt idx="48">
                  <c:v>0.15028762933298054</c:v>
                </c:pt>
                <c:pt idx="49">
                  <c:v>0.15027239600245335</c:v>
                </c:pt>
                <c:pt idx="50">
                  <c:v>0.15028241793043176</c:v>
                </c:pt>
                <c:pt idx="51">
                  <c:v>0.15029765126095895</c:v>
                </c:pt>
                <c:pt idx="52">
                  <c:v>0.1503120828372479</c:v>
                </c:pt>
                <c:pt idx="53">
                  <c:v>0.15032250564234545</c:v>
                </c:pt>
                <c:pt idx="54">
                  <c:v>0.1503285187991325</c:v>
                </c:pt>
                <c:pt idx="55">
                  <c:v>0.15032932055337075</c:v>
                </c:pt>
                <c:pt idx="56">
                  <c:v>0.15032571265929853</c:v>
                </c:pt>
                <c:pt idx="57">
                  <c:v>0.15031769511691581</c:v>
                </c:pt>
                <c:pt idx="58">
                  <c:v>0.15030647055757998</c:v>
                </c:pt>
                <c:pt idx="59">
                  <c:v>0.1502944442440059</c:v>
                </c:pt>
                <c:pt idx="60">
                  <c:v>0.15028602582450401</c:v>
                </c:pt>
                <c:pt idx="61">
                  <c:v>0.15029163810417193</c:v>
                </c:pt>
                <c:pt idx="62">
                  <c:v>0.15033332932456211</c:v>
                </c:pt>
                <c:pt idx="63">
                  <c:v>0.15046281263404329</c:v>
                </c:pt>
                <c:pt idx="64">
                  <c:v>0.15077710029544644</c:v>
                </c:pt>
                <c:pt idx="65">
                  <c:v>0.15141730105470771</c:v>
                </c:pt>
                <c:pt idx="66">
                  <c:v>0.1525553911959367</c:v>
                </c:pt>
                <c:pt idx="67">
                  <c:v>0.15434410490152453</c:v>
                </c:pt>
                <c:pt idx="68">
                  <c:v>0.15688406232837446</c:v>
                </c:pt>
                <c:pt idx="69">
                  <c:v>0.16024902486640769</c:v>
                </c:pt>
                <c:pt idx="70">
                  <c:v>0.16449351180382676</c:v>
                </c:pt>
                <c:pt idx="71">
                  <c:v>0.16965360208135399</c:v>
                </c:pt>
                <c:pt idx="72">
                  <c:v>0.17574813692358879</c:v>
                </c:pt>
                <c:pt idx="73">
                  <c:v>0.18277711633053118</c:v>
                </c:pt>
                <c:pt idx="74">
                  <c:v>0.19072290170893916</c:v>
                </c:pt>
                <c:pt idx="75">
                  <c:v>0.19954901324097121</c:v>
                </c:pt>
                <c:pt idx="76">
                  <c:v>0.20919772462147179</c:v>
                </c:pt>
                <c:pt idx="77">
                  <c:v>0.21959086481220913</c:v>
                </c:pt>
                <c:pt idx="78">
                  <c:v>0.23062420576220771</c:v>
                </c:pt>
                <c:pt idx="79">
                  <c:v>0.24216826416198639</c:v>
                </c:pt>
                <c:pt idx="80">
                  <c:v>0.25406309004100969</c:v>
                </c:pt>
                <c:pt idx="81">
                  <c:v>0.26611586150497291</c:v>
                </c:pt>
                <c:pt idx="82">
                  <c:v>0.27809647508749141</c:v>
                </c:pt>
                <c:pt idx="83">
                  <c:v>0.28973353697890986</c:v>
                </c:pt>
                <c:pt idx="84">
                  <c:v>0.300709953377991</c:v>
                </c:pt>
                <c:pt idx="85">
                  <c:v>0.31065691733512929</c:v>
                </c:pt>
                <c:pt idx="86">
                  <c:v>0.31915030085827789</c:v>
                </c:pt>
                <c:pt idx="87">
                  <c:v>0.32570504263328159</c:v>
                </c:pt>
                <c:pt idx="88">
                  <c:v>0.32976913486708914</c:v>
                </c:pt>
                <c:pt idx="89">
                  <c:v>0.33072001539368134</c:v>
                </c:pt>
                <c:pt idx="90">
                  <c:v>0.32786256328847518</c:v>
                </c:pt>
                <c:pt idx="91">
                  <c:v>0.32042428834289427</c:v>
                </c:pt>
                <c:pt idx="92">
                  <c:v>0.30755252492453483</c:v>
                </c:pt>
                <c:pt idx="93">
                  <c:v>0.28830320741783017</c:v>
                </c:pt>
                <c:pt idx="94">
                  <c:v>0.26163766320709714</c:v>
                </c:pt>
                <c:pt idx="95">
                  <c:v>0.22655450124873219</c:v>
                </c:pt>
                <c:pt idx="96">
                  <c:v>0.18259672162691967</c:v>
                </c:pt>
                <c:pt idx="97">
                  <c:v>0.13099261183469432</c:v>
                </c:pt>
                <c:pt idx="98">
                  <c:v>7.6076054407042598E-2</c:v>
                </c:pt>
                <c:pt idx="99">
                  <c:v>2.4306863417156738E-2</c:v>
                </c:pt>
                <c:pt idx="100">
                  <c:v>0</c:v>
                </c:pt>
              </c:numCache>
            </c:numRef>
          </c:xVal>
          <c:yVal>
            <c:numRef>
              <c:f>Sheet1!$J$13:$J$113</c:f>
              <c:numCache>
                <c:formatCode>General</c:formatCode>
                <c:ptCount val="101"/>
                <c:pt idx="0">
                  <c:v>0</c:v>
                </c:pt>
                <c:pt idx="1">
                  <c:v>1.00006E-2</c:v>
                </c:pt>
                <c:pt idx="2">
                  <c:v>1.9992100000000002E-2</c:v>
                </c:pt>
                <c:pt idx="3">
                  <c:v>2.9971800000000003E-2</c:v>
                </c:pt>
                <c:pt idx="4">
                  <c:v>3.99411E-2</c:v>
                </c:pt>
                <c:pt idx="5">
                  <c:v>4.9901800000000003E-2</c:v>
                </c:pt>
                <c:pt idx="6">
                  <c:v>5.9856099999999995E-2</c:v>
                </c:pt>
                <c:pt idx="7">
                  <c:v>6.9805999999999993E-2</c:v>
                </c:pt>
                <c:pt idx="8">
                  <c:v>7.9753000000000004E-2</c:v>
                </c:pt>
                <c:pt idx="9">
                  <c:v>8.9698600000000003E-2</c:v>
                </c:pt>
                <c:pt idx="10">
                  <c:v>9.9643800000000005E-2</c:v>
                </c:pt>
                <c:pt idx="11">
                  <c:v>0.10958899999999999</c:v>
                </c:pt>
                <c:pt idx="12">
                  <c:v>0.119536</c:v>
                </c:pt>
                <c:pt idx="13">
                  <c:v>0.12948400000000002</c:v>
                </c:pt>
                <c:pt idx="14">
                  <c:v>0.139434</c:v>
                </c:pt>
                <c:pt idx="15">
                  <c:v>0.14938599999999999</c:v>
                </c:pt>
                <c:pt idx="16">
                  <c:v>0.15934000000000001</c:v>
                </c:pt>
                <c:pt idx="17">
                  <c:v>0.169296</c:v>
                </c:pt>
                <c:pt idx="18">
                  <c:v>0.179254</c:v>
                </c:pt>
                <c:pt idx="19">
                  <c:v>0.18921499999999999</c:v>
                </c:pt>
                <c:pt idx="20">
                  <c:v>0.19917799999999999</c:v>
                </c:pt>
                <c:pt idx="21">
                  <c:v>0.209143</c:v>
                </c:pt>
                <c:pt idx="22">
                  <c:v>0.219109</c:v>
                </c:pt>
                <c:pt idx="23">
                  <c:v>0.229078</c:v>
                </c:pt>
                <c:pt idx="24">
                  <c:v>0.23904900000000001</c:v>
                </c:pt>
                <c:pt idx="25">
                  <c:v>0.24902099999999999</c:v>
                </c:pt>
                <c:pt idx="26">
                  <c:v>0.25899500000000003</c:v>
                </c:pt>
                <c:pt idx="27">
                  <c:v>0.26897100000000002</c:v>
                </c:pt>
                <c:pt idx="28">
                  <c:v>0.27894799999999997</c:v>
                </c:pt>
                <c:pt idx="29">
                  <c:v>0.28892599999999996</c:v>
                </c:pt>
                <c:pt idx="30">
                  <c:v>0.29890600000000001</c:v>
                </c:pt>
                <c:pt idx="31">
                  <c:v>0.30888600000000005</c:v>
                </c:pt>
                <c:pt idx="32">
                  <c:v>0.31886799999999998</c:v>
                </c:pt>
                <c:pt idx="33">
                  <c:v>0.328851</c:v>
                </c:pt>
                <c:pt idx="34">
                  <c:v>0.33883400000000002</c:v>
                </c:pt>
                <c:pt idx="35">
                  <c:v>0.34881799999999996</c:v>
                </c:pt>
                <c:pt idx="36">
                  <c:v>0.35880299999999998</c:v>
                </c:pt>
                <c:pt idx="37">
                  <c:v>0.368788</c:v>
                </c:pt>
                <c:pt idx="38">
                  <c:v>0.378774</c:v>
                </c:pt>
                <c:pt idx="39">
                  <c:v>0.38875999999999999</c:v>
                </c:pt>
                <c:pt idx="40">
                  <c:v>0.39874700000000002</c:v>
                </c:pt>
                <c:pt idx="41">
                  <c:v>0.40873399999999999</c:v>
                </c:pt>
                <c:pt idx="42">
                  <c:v>0.41872100000000001</c:v>
                </c:pt>
                <c:pt idx="43">
                  <c:v>0.42870800000000003</c:v>
                </c:pt>
                <c:pt idx="44">
                  <c:v>0.43869600000000003</c:v>
                </c:pt>
                <c:pt idx="45">
                  <c:v>0.448683</c:v>
                </c:pt>
                <c:pt idx="46">
                  <c:v>0.458671</c:v>
                </c:pt>
                <c:pt idx="47">
                  <c:v>0.46865800000000002</c:v>
                </c:pt>
                <c:pt idx="48">
                  <c:v>0.47864499999999999</c:v>
                </c:pt>
                <c:pt idx="49">
                  <c:v>0.48863299999999998</c:v>
                </c:pt>
                <c:pt idx="50">
                  <c:v>0.49862099999999998</c:v>
                </c:pt>
                <c:pt idx="51">
                  <c:v>0.50860799999999995</c:v>
                </c:pt>
                <c:pt idx="52">
                  <c:v>0.51859600000000006</c:v>
                </c:pt>
                <c:pt idx="53">
                  <c:v>0.52858300000000003</c:v>
                </c:pt>
                <c:pt idx="54">
                  <c:v>0.5385700000000001</c:v>
                </c:pt>
                <c:pt idx="55">
                  <c:v>0.54855799999999999</c:v>
                </c:pt>
                <c:pt idx="56">
                  <c:v>0.55854499999999996</c:v>
                </c:pt>
                <c:pt idx="57">
                  <c:v>0.56853300000000007</c:v>
                </c:pt>
                <c:pt idx="58">
                  <c:v>0.57852099999999995</c:v>
                </c:pt>
                <c:pt idx="59">
                  <c:v>0.58850800000000003</c:v>
                </c:pt>
                <c:pt idx="60">
                  <c:v>0.598495</c:v>
                </c:pt>
                <c:pt idx="61">
                  <c:v>0.608483</c:v>
                </c:pt>
                <c:pt idx="62">
                  <c:v>0.61847099999999999</c:v>
                </c:pt>
                <c:pt idx="63">
                  <c:v>0.62845799999999996</c:v>
                </c:pt>
                <c:pt idx="64">
                  <c:v>0.63844500000000004</c:v>
                </c:pt>
                <c:pt idx="65">
                  <c:v>0.64843300000000004</c:v>
                </c:pt>
                <c:pt idx="66">
                  <c:v>0.65842000000000001</c:v>
                </c:pt>
                <c:pt idx="67">
                  <c:v>0.668408</c:v>
                </c:pt>
                <c:pt idx="68">
                  <c:v>0.67839499999999997</c:v>
                </c:pt>
                <c:pt idx="69">
                  <c:v>0.68838199999999994</c:v>
                </c:pt>
                <c:pt idx="70">
                  <c:v>0.69836900000000002</c:v>
                </c:pt>
                <c:pt idx="71">
                  <c:v>0.70835599999999999</c:v>
                </c:pt>
                <c:pt idx="72">
                  <c:v>0.71834200000000004</c:v>
                </c:pt>
                <c:pt idx="73">
                  <c:v>0.72832799999999998</c:v>
                </c:pt>
                <c:pt idx="74">
                  <c:v>0.73831399999999991</c:v>
                </c:pt>
                <c:pt idx="75">
                  <c:v>0.74829899999999994</c:v>
                </c:pt>
                <c:pt idx="76">
                  <c:v>0.75828399999999996</c:v>
                </c:pt>
                <c:pt idx="77">
                  <c:v>0.76826800000000006</c:v>
                </c:pt>
                <c:pt idx="78">
                  <c:v>0.77825199999999994</c:v>
                </c:pt>
                <c:pt idx="79">
                  <c:v>0.78823599999999994</c:v>
                </c:pt>
                <c:pt idx="80">
                  <c:v>0.79821799999999998</c:v>
                </c:pt>
                <c:pt idx="81">
                  <c:v>0.80820000000000003</c:v>
                </c:pt>
                <c:pt idx="82">
                  <c:v>0.81818199999999996</c:v>
                </c:pt>
                <c:pt idx="83">
                  <c:v>0.82816299999999998</c:v>
                </c:pt>
                <c:pt idx="84">
                  <c:v>0.83814300000000008</c:v>
                </c:pt>
                <c:pt idx="85">
                  <c:v>0.84812300000000007</c:v>
                </c:pt>
                <c:pt idx="86">
                  <c:v>0.85810199999999992</c:v>
                </c:pt>
                <c:pt idx="87">
                  <c:v>0.86808099999999999</c:v>
                </c:pt>
                <c:pt idx="88">
                  <c:v>0.87805999999999995</c:v>
                </c:pt>
                <c:pt idx="89">
                  <c:v>0.88803799999999999</c:v>
                </c:pt>
                <c:pt idx="90">
                  <c:v>0.89801700000000007</c:v>
                </c:pt>
                <c:pt idx="91">
                  <c:v>0.90799600000000003</c:v>
                </c:pt>
                <c:pt idx="92">
                  <c:v>0.91797499999999999</c:v>
                </c:pt>
                <c:pt idx="93">
                  <c:v>0.92795500000000009</c:v>
                </c:pt>
                <c:pt idx="94">
                  <c:v>0.93793700000000002</c:v>
                </c:pt>
                <c:pt idx="95">
                  <c:v>0.94791999999999998</c:v>
                </c:pt>
                <c:pt idx="96">
                  <c:v>0.95790500000000001</c:v>
                </c:pt>
                <c:pt idx="97">
                  <c:v>0.967893</c:v>
                </c:pt>
                <c:pt idx="98">
                  <c:v>0.97788199999999992</c:v>
                </c:pt>
                <c:pt idx="99">
                  <c:v>0.98787099999999994</c:v>
                </c:pt>
                <c:pt idx="100">
                  <c:v>0.99785799999999991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A5-467B-921A-E1E090F54F3A}"/>
            </c:ext>
          </c:extLst>
        </c:ser>
        <c:ser>
          <c:idx val="1"/>
          <c:order val="1"/>
          <c:tx>
            <c:v>GNA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Sheet1!$T$13:$T$113</c:f>
              <c:numCache>
                <c:formatCode>0.00E+00</c:formatCode>
                <c:ptCount val="101"/>
                <c:pt idx="0">
                  <c:v>0</c:v>
                </c:pt>
                <c:pt idx="1">
                  <c:v>0.52435289896315362</c:v>
                </c:pt>
                <c:pt idx="2">
                  <c:v>0.89316337135928336</c:v>
                </c:pt>
                <c:pt idx="3">
                  <c:v>1</c:v>
                </c:pt>
                <c:pt idx="4">
                  <c:v>0.82099861423869724</c:v>
                </c:pt>
                <c:pt idx="5">
                  <c:v>0.42050122491400849</c:v>
                </c:pt>
                <c:pt idx="6">
                  <c:v>-7.3492984583405502E-2</c:v>
                </c:pt>
                <c:pt idx="7">
                  <c:v>-0.51076439583281774</c:v>
                </c:pt>
                <c:pt idx="8">
                  <c:v>-0.76275952092252108</c:v>
                </c:pt>
                <c:pt idx="9">
                  <c:v>-0.76013337952537674</c:v>
                </c:pt>
                <c:pt idx="10">
                  <c:v>-0.51308121551062824</c:v>
                </c:pt>
                <c:pt idx="11">
                  <c:v>-0.10512855410655514</c:v>
                </c:pt>
                <c:pt idx="12">
                  <c:v>0.33608423449060892</c:v>
                </c:pt>
                <c:pt idx="13">
                  <c:v>0.67804248843136761</c:v>
                </c:pt>
                <c:pt idx="14">
                  <c:v>0.82193276583108554</c:v>
                </c:pt>
                <c:pt idx="15">
                  <c:v>0.73183044220632987</c:v>
                </c:pt>
                <c:pt idx="16">
                  <c:v>0.44413959070550096</c:v>
                </c:pt>
                <c:pt idx="17">
                  <c:v>5.2974746974833578E-2</c:v>
                </c:pt>
                <c:pt idx="18">
                  <c:v>-0.32112234292643088</c:v>
                </c:pt>
                <c:pt idx="19">
                  <c:v>-0.56747543985548488</c:v>
                </c:pt>
                <c:pt idx="20">
                  <c:v>-0.61745873648264082</c:v>
                </c:pt>
                <c:pt idx="21">
                  <c:v>-0.4640970280369206</c:v>
                </c:pt>
                <c:pt idx="22">
                  <c:v>-0.16182134814778154</c:v>
                </c:pt>
                <c:pt idx="23">
                  <c:v>0.19309160872039788</c:v>
                </c:pt>
                <c:pt idx="24">
                  <c:v>0.4929753037539284</c:v>
                </c:pt>
                <c:pt idx="25">
                  <c:v>0.65063658409838898</c:v>
                </c:pt>
                <c:pt idx="26">
                  <c:v>0.62473398332137287</c:v>
                </c:pt>
                <c:pt idx="27">
                  <c:v>0.43086659572888569</c:v>
                </c:pt>
                <c:pt idx="28">
                  <c:v>0.13428614733612135</c:v>
                </c:pt>
                <c:pt idx="29">
                  <c:v>-0.1723058078246022</c:v>
                </c:pt>
                <c:pt idx="30">
                  <c:v>-0.39737942639380364</c:v>
                </c:pt>
                <c:pt idx="31">
                  <c:v>-0.47743807379178937</c:v>
                </c:pt>
                <c:pt idx="32">
                  <c:v>-0.39498527628615965</c:v>
                </c:pt>
                <c:pt idx="33">
                  <c:v>-0.18193963277325478</c:v>
                </c:pt>
                <c:pt idx="34">
                  <c:v>9.2416359407092127E-2</c:v>
                </c:pt>
                <c:pt idx="35">
                  <c:v>0.34388842146940191</c:v>
                </c:pt>
                <c:pt idx="36">
                  <c:v>0.4987658063398579</c:v>
                </c:pt>
                <c:pt idx="37">
                  <c:v>0.51524956076315853</c:v>
                </c:pt>
                <c:pt idx="38">
                  <c:v>0.39479968325455939</c:v>
                </c:pt>
                <c:pt idx="39">
                  <c:v>0.17971313503748979</c:v>
                </c:pt>
                <c:pt idx="40">
                  <c:v>-6.1678132191729969E-2</c:v>
                </c:pt>
                <c:pt idx="41">
                  <c:v>-0.2565579297715968</c:v>
                </c:pt>
                <c:pt idx="42">
                  <c:v>-0.3492891786889708</c:v>
                </c:pt>
                <c:pt idx="43">
                  <c:v>-0.31718467743931106</c:v>
                </c:pt>
                <c:pt idx="44">
                  <c:v>-0.17581073222637397</c:v>
                </c:pt>
                <c:pt idx="45">
                  <c:v>2.7582650763406002E-2</c:v>
                </c:pt>
                <c:pt idx="46">
                  <c:v>0.22975303753928383</c:v>
                </c:pt>
                <c:pt idx="47">
                  <c:v>0.3708922075672465</c:v>
                </c:pt>
                <c:pt idx="48">
                  <c:v>0.41212788597164135</c:v>
                </c:pt>
                <c:pt idx="49">
                  <c:v>0.346183588626859</c:v>
                </c:pt>
                <c:pt idx="50">
                  <c:v>0.19800734948405135</c:v>
                </c:pt>
                <c:pt idx="51">
                  <c:v>1.5627180718121303E-2</c:v>
                </c:pt>
                <c:pt idx="52">
                  <c:v>-0.14532645814258494</c:v>
                </c:pt>
                <c:pt idx="53">
                  <c:v>-0.23841435500235084</c:v>
                </c:pt>
                <c:pt idx="54">
                  <c:v>-0.23964916730593155</c:v>
                </c:pt>
                <c:pt idx="55">
                  <c:v>-0.15348698374205041</c:v>
                </c:pt>
                <c:pt idx="56">
                  <c:v>-9.9849978966123076E-3</c:v>
                </c:pt>
                <c:pt idx="57">
                  <c:v>0.1455117418524659</c:v>
                </c:pt>
                <c:pt idx="58">
                  <c:v>0.2665641780703274</c:v>
                </c:pt>
                <c:pt idx="59">
                  <c:v>0.31936848877780805</c:v>
                </c:pt>
                <c:pt idx="60">
                  <c:v>0.29209157160179161</c:v>
                </c:pt>
                <c:pt idx="61">
                  <c:v>0.19720063844002869</c:v>
                </c:pt>
                <c:pt idx="62">
                  <c:v>6.6378585038727081E-2</c:v>
                </c:pt>
                <c:pt idx="63">
                  <c:v>-5.9956447501917795E-2</c:v>
                </c:pt>
                <c:pt idx="64">
                  <c:v>-0.14504250080423647</c:v>
                </c:pt>
                <c:pt idx="65">
                  <c:v>-0.16636280963104103</c:v>
                </c:pt>
                <c:pt idx="66">
                  <c:v>-0.12144620276657345</c:v>
                </c:pt>
                <c:pt idx="67">
                  <c:v>-2.7388365791492415E-2</c:v>
                </c:pt>
                <c:pt idx="68">
                  <c:v>8.5383311474598489E-2</c:v>
                </c:pt>
                <c:pt idx="69">
                  <c:v>0.18285955556655364</c:v>
                </c:pt>
                <c:pt idx="70">
                  <c:v>0.23761568632303082</c:v>
                </c:pt>
                <c:pt idx="71">
                  <c:v>0.23642727227735022</c:v>
                </c:pt>
                <c:pt idx="72">
                  <c:v>0.18323785602929893</c:v>
                </c:pt>
                <c:pt idx="73">
                  <c:v>9.6865643017990152E-2</c:v>
                </c:pt>
                <c:pt idx="74">
                  <c:v>4.4860000989829498E-3</c:v>
                </c:pt>
                <c:pt idx="75">
                  <c:v>-6.6861126920887873E-2</c:v>
                </c:pt>
                <c:pt idx="76">
                  <c:v>-9.8113137512063547E-2</c:v>
                </c:pt>
                <c:pt idx="77">
                  <c:v>-8.3144440870060121E-2</c:v>
                </c:pt>
                <c:pt idx="78">
                  <c:v>-2.9586993640345449E-2</c:v>
                </c:pt>
                <c:pt idx="79">
                  <c:v>4.4422620078691438E-2</c:v>
                </c:pt>
                <c:pt idx="80">
                  <c:v>0.11629073767043627</c:v>
                </c:pt>
                <c:pt idx="81">
                  <c:v>0.16581376357922345</c:v>
                </c:pt>
                <c:pt idx="82">
                  <c:v>0.18077348989136621</c:v>
                </c:pt>
                <c:pt idx="83">
                  <c:v>0.15976807057484349</c:v>
                </c:pt>
                <c:pt idx="84">
                  <c:v>0.11167163643562394</c:v>
                </c:pt>
                <c:pt idx="85">
                  <c:v>5.2186285912251613E-2</c:v>
                </c:pt>
                <c:pt idx="86">
                  <c:v>-1.2363960307836975E-3</c:v>
                </c:pt>
                <c:pt idx="87">
                  <c:v>-3.4473905619756995E-2</c:v>
                </c:pt>
                <c:pt idx="88">
                  <c:v>-4.0349471678503376E-2</c:v>
                </c:pt>
                <c:pt idx="89">
                  <c:v>-1.9905625943431246E-2</c:v>
                </c:pt>
                <c:pt idx="90">
                  <c:v>1.8778828784241912E-2</c:v>
                </c:pt>
                <c:pt idx="91">
                  <c:v>6.3599638712231815E-2</c:v>
                </c:pt>
                <c:pt idx="92">
                  <c:v>0.10218876048600628</c:v>
                </c:pt>
                <c:pt idx="93">
                  <c:v>0.1252632327831531</c:v>
                </c:pt>
                <c:pt idx="94">
                  <c:v>0.12868185642523075</c:v>
                </c:pt>
                <c:pt idx="95">
                  <c:v>0.11381647323748482</c:v>
                </c:pt>
                <c:pt idx="96">
                  <c:v>8.6401289252926172E-2</c:v>
                </c:pt>
                <c:pt idx="97">
                  <c:v>5.4426393803667317E-2</c:v>
                </c:pt>
                <c:pt idx="98">
                  <c:v>2.582997203731657E-2</c:v>
                </c:pt>
                <c:pt idx="99">
                  <c:v>6.6469525624211221E-3</c:v>
                </c:pt>
                <c:pt idx="100">
                  <c:v>0</c:v>
                </c:pt>
              </c:numCache>
            </c:numRef>
          </c:xVal>
          <c:yVal>
            <c:numRef>
              <c:f>Sheet1!$S$13:$S$113</c:f>
              <c:numCache>
                <c:formatCode>General</c:formatCode>
                <c:ptCount val="101"/>
                <c:pt idx="0">
                  <c:v>0</c:v>
                </c:pt>
                <c:pt idx="1">
                  <c:v>9.9921399999999983E-3</c:v>
                </c:pt>
                <c:pt idx="2">
                  <c:v>1.9979900000000002E-2</c:v>
                </c:pt>
                <c:pt idx="3">
                  <c:v>2.9965200000000001E-2</c:v>
                </c:pt>
                <c:pt idx="4">
                  <c:v>3.9950899999999998E-2</c:v>
                </c:pt>
                <c:pt idx="5">
                  <c:v>4.9939600000000001E-2</c:v>
                </c:pt>
                <c:pt idx="6">
                  <c:v>5.99325E-2</c:v>
                </c:pt>
                <c:pt idx="7">
                  <c:v>6.9929900000000003E-2</c:v>
                </c:pt>
                <c:pt idx="8">
                  <c:v>7.9930600000000004E-2</c:v>
                </c:pt>
                <c:pt idx="9">
                  <c:v>8.9932599999999988E-2</c:v>
                </c:pt>
                <c:pt idx="10">
                  <c:v>9.9933300000000003E-2</c:v>
                </c:pt>
                <c:pt idx="11">
                  <c:v>0.109931</c:v>
                </c:pt>
                <c:pt idx="12">
                  <c:v>0.119924</c:v>
                </c:pt>
                <c:pt idx="13">
                  <c:v>0.12991399999999997</c:v>
                </c:pt>
                <c:pt idx="14">
                  <c:v>0.139901</c:v>
                </c:pt>
                <c:pt idx="15">
                  <c:v>0.14988799999999999</c:v>
                </c:pt>
                <c:pt idx="16">
                  <c:v>0.15987700000000002</c:v>
                </c:pt>
                <c:pt idx="17">
                  <c:v>0.16986899999999999</c:v>
                </c:pt>
                <c:pt idx="18">
                  <c:v>0.179865</c:v>
                </c:pt>
                <c:pt idx="19">
                  <c:v>0.189864</c:v>
                </c:pt>
                <c:pt idx="20">
                  <c:v>0.19986400000000001</c:v>
                </c:pt>
                <c:pt idx="21">
                  <c:v>0.20986399999999999</c:v>
                </c:pt>
                <c:pt idx="22">
                  <c:v>0.219862</c:v>
                </c:pt>
                <c:pt idx="23">
                  <c:v>0.229856</c:v>
                </c:pt>
                <c:pt idx="24">
                  <c:v>0.239847</c:v>
                </c:pt>
                <c:pt idx="25">
                  <c:v>0.249836</c:v>
                </c:pt>
                <c:pt idx="26">
                  <c:v>0.25982499999999997</c:v>
                </c:pt>
                <c:pt idx="27">
                  <c:v>0.269814</c:v>
                </c:pt>
                <c:pt idx="28">
                  <c:v>0.279806</c:v>
                </c:pt>
                <c:pt idx="29">
                  <c:v>0.28980099999999998</c:v>
                </c:pt>
                <c:pt idx="30">
                  <c:v>0.29979800000000001</c:v>
                </c:pt>
                <c:pt idx="31">
                  <c:v>0.30979700000000004</c:v>
                </c:pt>
                <c:pt idx="32">
                  <c:v>0.319795</c:v>
                </c:pt>
                <c:pt idx="33">
                  <c:v>0.329793</c:v>
                </c:pt>
                <c:pt idx="34">
                  <c:v>0.33978800000000003</c:v>
                </c:pt>
                <c:pt idx="35">
                  <c:v>0.34977999999999998</c:v>
                </c:pt>
                <c:pt idx="36">
                  <c:v>0.35977100000000001</c:v>
                </c:pt>
                <c:pt idx="37">
                  <c:v>0.36975999999999998</c:v>
                </c:pt>
                <c:pt idx="38">
                  <c:v>0.37974999999999998</c:v>
                </c:pt>
                <c:pt idx="39">
                  <c:v>0.38974200000000003</c:v>
                </c:pt>
                <c:pt idx="40">
                  <c:v>0.39973599999999998</c:v>
                </c:pt>
                <c:pt idx="41">
                  <c:v>0.40973200000000004</c:v>
                </c:pt>
                <c:pt idx="42">
                  <c:v>0.41972999999999999</c:v>
                </c:pt>
                <c:pt idx="43">
                  <c:v>0.42972699999999997</c:v>
                </c:pt>
                <c:pt idx="44">
                  <c:v>0.439724</c:v>
                </c:pt>
                <c:pt idx="45">
                  <c:v>0.44972000000000001</c:v>
                </c:pt>
                <c:pt idx="46">
                  <c:v>0.45971300000000004</c:v>
                </c:pt>
                <c:pt idx="47">
                  <c:v>0.46970400000000001</c:v>
                </c:pt>
                <c:pt idx="48">
                  <c:v>0.47969499999999998</c:v>
                </c:pt>
                <c:pt idx="49">
                  <c:v>0.48968599999999995</c:v>
                </c:pt>
                <c:pt idx="50">
                  <c:v>0.49967800000000001</c:v>
                </c:pt>
                <c:pt idx="51">
                  <c:v>0.50967099999999999</c:v>
                </c:pt>
                <c:pt idx="52">
                  <c:v>0.51966699999999999</c:v>
                </c:pt>
                <c:pt idx="53">
                  <c:v>0.52966299999999999</c:v>
                </c:pt>
                <c:pt idx="54">
                  <c:v>0.53965999999999992</c:v>
                </c:pt>
                <c:pt idx="55">
                  <c:v>0.54965599999999992</c:v>
                </c:pt>
                <c:pt idx="56">
                  <c:v>0.5596509999999999</c:v>
                </c:pt>
                <c:pt idx="57">
                  <c:v>0.56964499999999996</c:v>
                </c:pt>
                <c:pt idx="58">
                  <c:v>0.57963799999999999</c:v>
                </c:pt>
                <c:pt idx="59">
                  <c:v>0.58962900000000007</c:v>
                </c:pt>
                <c:pt idx="60">
                  <c:v>0.59962099999999996</c:v>
                </c:pt>
                <c:pt idx="61">
                  <c:v>0.60961300000000007</c:v>
                </c:pt>
                <c:pt idx="62">
                  <c:v>0.61960599999999999</c:v>
                </c:pt>
                <c:pt idx="63">
                  <c:v>0.62960099999999997</c:v>
                </c:pt>
                <c:pt idx="64">
                  <c:v>0.63959600000000005</c:v>
                </c:pt>
                <c:pt idx="65">
                  <c:v>0.64959199999999995</c:v>
                </c:pt>
                <c:pt idx="66">
                  <c:v>0.65958799999999995</c:v>
                </c:pt>
                <c:pt idx="67">
                  <c:v>0.66958399999999996</c:v>
                </c:pt>
                <c:pt idx="68">
                  <c:v>0.67957800000000002</c:v>
                </c:pt>
                <c:pt idx="69">
                  <c:v>0.68957100000000005</c:v>
                </c:pt>
                <c:pt idx="70">
                  <c:v>0.69956399999999996</c:v>
                </c:pt>
                <c:pt idx="71">
                  <c:v>0.70955600000000008</c:v>
                </c:pt>
                <c:pt idx="72">
                  <c:v>0.71954799999999997</c:v>
                </c:pt>
                <c:pt idx="73">
                  <c:v>0.72954100000000011</c:v>
                </c:pt>
                <c:pt idx="74">
                  <c:v>0.73953499999999994</c:v>
                </c:pt>
                <c:pt idx="75">
                  <c:v>0.74952999999999992</c:v>
                </c:pt>
                <c:pt idx="76">
                  <c:v>0.75952599999999992</c:v>
                </c:pt>
                <c:pt idx="77">
                  <c:v>0.76952100000000001</c:v>
                </c:pt>
                <c:pt idx="78">
                  <c:v>0.77951599999999999</c:v>
                </c:pt>
                <c:pt idx="79">
                  <c:v>0.78951000000000005</c:v>
                </c:pt>
                <c:pt idx="80">
                  <c:v>0.79950399999999999</c:v>
                </c:pt>
                <c:pt idx="81">
                  <c:v>0.80949699999999991</c:v>
                </c:pt>
                <c:pt idx="82">
                  <c:v>0.81949000000000005</c:v>
                </c:pt>
                <c:pt idx="83">
                  <c:v>0.82948299999999997</c:v>
                </c:pt>
                <c:pt idx="84">
                  <c:v>0.839476</c:v>
                </c:pt>
                <c:pt idx="85">
                  <c:v>0.84947000000000006</c:v>
                </c:pt>
                <c:pt idx="86">
                  <c:v>0.85946400000000001</c:v>
                </c:pt>
                <c:pt idx="87">
                  <c:v>0.86945899999999998</c:v>
                </c:pt>
                <c:pt idx="88">
                  <c:v>0.87945399999999996</c:v>
                </c:pt>
                <c:pt idx="89">
                  <c:v>0.88944800000000002</c:v>
                </c:pt>
                <c:pt idx="90">
                  <c:v>0.89944299999999999</c:v>
                </c:pt>
                <c:pt idx="91">
                  <c:v>0.90943700000000005</c:v>
                </c:pt>
                <c:pt idx="92">
                  <c:v>0.919431</c:v>
                </c:pt>
                <c:pt idx="93">
                  <c:v>0.92942400000000003</c:v>
                </c:pt>
                <c:pt idx="94">
                  <c:v>0.93941700000000006</c:v>
                </c:pt>
                <c:pt idx="95">
                  <c:v>0.94941099999999989</c:v>
                </c:pt>
                <c:pt idx="96">
                  <c:v>0.95940400000000003</c:v>
                </c:pt>
                <c:pt idx="97">
                  <c:v>0.96939799999999998</c:v>
                </c:pt>
                <c:pt idx="98">
                  <c:v>0.97939200000000004</c:v>
                </c:pt>
                <c:pt idx="99">
                  <c:v>0.98938699999999991</c:v>
                </c:pt>
                <c:pt idx="100">
                  <c:v>0.99938099999999996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A5-467B-921A-E1E090F54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129599"/>
        <c:axId val="1631126095"/>
      </c:scatterChart>
      <c:valAx>
        <c:axId val="1720129599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Radial deformation [L]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26095"/>
        <c:crosses val="autoZero"/>
        <c:crossBetween val="midCat"/>
        <c:majorUnit val="0.2"/>
      </c:valAx>
      <c:valAx>
        <c:axId val="1631126095"/>
        <c:scaling>
          <c:orientation val="maxMin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 height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129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350309</xdr:colOff>
      <xdr:row>2</xdr:row>
      <xdr:rowOff>18344</xdr:rowOff>
    </xdr:from>
    <xdr:to>
      <xdr:col>36</xdr:col>
      <xdr:colOff>97014</xdr:colOff>
      <xdr:row>26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7776A-9FEC-C374-E0D0-99A701FA8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467783</xdr:colOff>
      <xdr:row>27</xdr:row>
      <xdr:rowOff>160161</xdr:rowOff>
    </xdr:from>
    <xdr:to>
      <xdr:col>36</xdr:col>
      <xdr:colOff>52917</xdr:colOff>
      <xdr:row>70</xdr:row>
      <xdr:rowOff>26459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0E943D-1E2C-FBED-0C77-4F56B0658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D3D2-FD26-473E-888C-886F3C528C9A}">
  <dimension ref="A1:V113"/>
  <sheetViews>
    <sheetView tabSelected="1" zoomScale="72" workbookViewId="0">
      <selection activeCell="A4" sqref="A4"/>
    </sheetView>
  </sheetViews>
  <sheetFormatPr defaultRowHeight="14.5" x14ac:dyDescent="0.35"/>
  <cols>
    <col min="1" max="1" width="10.1796875" bestFit="1" customWidth="1"/>
  </cols>
  <sheetData>
    <row r="1" spans="1:20" x14ac:dyDescent="0.35">
      <c r="A1" t="s">
        <v>9</v>
      </c>
    </row>
    <row r="2" spans="1:20" x14ac:dyDescent="0.35">
      <c r="A2" t="s">
        <v>10</v>
      </c>
    </row>
    <row r="3" spans="1:20" x14ac:dyDescent="0.35">
      <c r="A3" s="2">
        <v>46270</v>
      </c>
    </row>
    <row r="6" spans="1:20" x14ac:dyDescent="0.35">
      <c r="D6" t="s">
        <v>3</v>
      </c>
      <c r="M6" t="s">
        <v>2</v>
      </c>
    </row>
    <row r="11" spans="1:20" x14ac:dyDescent="0.35">
      <c r="D11" t="s">
        <v>0</v>
      </c>
      <c r="E11" t="s">
        <v>1</v>
      </c>
      <c r="H11" t="s">
        <v>5</v>
      </c>
      <c r="I11" t="s">
        <v>6</v>
      </c>
      <c r="J11" t="s">
        <v>7</v>
      </c>
      <c r="K11" t="s">
        <v>8</v>
      </c>
      <c r="M11" t="s">
        <v>0</v>
      </c>
      <c r="N11" t="s">
        <v>1</v>
      </c>
      <c r="Q11" t="s">
        <v>5</v>
      </c>
      <c r="R11" t="s">
        <v>6</v>
      </c>
      <c r="S11" t="s">
        <v>7</v>
      </c>
      <c r="T11" t="s">
        <v>8</v>
      </c>
    </row>
    <row r="13" spans="1:20" x14ac:dyDescent="0.35">
      <c r="D13">
        <v>0</v>
      </c>
      <c r="E13">
        <v>0</v>
      </c>
      <c r="F13">
        <f>-E13</f>
        <v>0</v>
      </c>
      <c r="H13">
        <v>0</v>
      </c>
      <c r="I13" s="1">
        <v>0</v>
      </c>
      <c r="J13">
        <f>H13/1000</f>
        <v>0</v>
      </c>
      <c r="K13" s="1" cm="1">
        <f t="array" ref="K13">I13/MAX(ABS($I$13:$I$113))</f>
        <v>0</v>
      </c>
      <c r="M13">
        <v>0</v>
      </c>
      <c r="N13">
        <v>0</v>
      </c>
      <c r="O13">
        <f>-N13</f>
        <v>0</v>
      </c>
      <c r="Q13">
        <v>0</v>
      </c>
      <c r="R13" s="1">
        <v>0</v>
      </c>
      <c r="S13">
        <f>Q13/1000</f>
        <v>0</v>
      </c>
      <c r="T13" s="1" cm="1">
        <f t="array" ref="T13">R13/MAX(ABS($R$13:$R$113))</f>
        <v>0</v>
      </c>
    </row>
    <row r="14" spans="1:20" x14ac:dyDescent="0.35">
      <c r="D14">
        <v>0.1</v>
      </c>
      <c r="E14">
        <v>-0.124585</v>
      </c>
      <c r="F14">
        <f t="shared" ref="F14:F77" si="0">-E14</f>
        <v>0.124585</v>
      </c>
      <c r="H14">
        <v>10.0006</v>
      </c>
      <c r="I14">
        <v>0.50491299999999995</v>
      </c>
      <c r="J14">
        <f t="shared" ref="J14:J77" si="1">H14/1000</f>
        <v>1.00006E-2</v>
      </c>
      <c r="K14" s="1" cm="1">
        <f t="array" ref="K14">I14/MAX(ABS($I$13:$I$113))</f>
        <v>0.20240806885465396</v>
      </c>
      <c r="M14">
        <v>0.19969300000000001</v>
      </c>
      <c r="N14">
        <v>-0.120502</v>
      </c>
      <c r="O14">
        <f t="shared" ref="O14:O77" si="2">-N14</f>
        <v>0.120502</v>
      </c>
      <c r="Q14">
        <v>9.9921399999999991</v>
      </c>
      <c r="R14">
        <v>1.6951700000000001</v>
      </c>
      <c r="S14">
        <f t="shared" ref="S14:S77" si="3">Q14/1000</f>
        <v>9.9921399999999983E-3</v>
      </c>
      <c r="T14" s="1" cm="1">
        <f t="array" ref="T14">R14/MAX(ABS($R$13:$R$113))</f>
        <v>0.52435289896315362</v>
      </c>
    </row>
    <row r="15" spans="1:20" x14ac:dyDescent="0.35">
      <c r="D15">
        <v>0.2</v>
      </c>
      <c r="E15">
        <v>-0.249169</v>
      </c>
      <c r="F15">
        <f t="shared" si="0"/>
        <v>0.249169</v>
      </c>
      <c r="H15">
        <v>19.992100000000001</v>
      </c>
      <c r="I15">
        <v>0.98597599999999996</v>
      </c>
      <c r="J15">
        <f t="shared" si="1"/>
        <v>1.9992100000000002E-2</v>
      </c>
      <c r="K15" s="1" cm="1">
        <f t="array" ref="K15">I15/MAX(ABS($I$13:$I$113))</f>
        <v>0.39525521841789835</v>
      </c>
      <c r="M15">
        <v>0.39855600000000002</v>
      </c>
      <c r="N15">
        <v>-0.24074599999999999</v>
      </c>
      <c r="O15">
        <f t="shared" si="2"/>
        <v>0.24074599999999999</v>
      </c>
      <c r="Q15">
        <v>19.979900000000001</v>
      </c>
      <c r="R15">
        <v>2.8874900000000001</v>
      </c>
      <c r="S15">
        <f>Q15/1000</f>
        <v>1.9979900000000002E-2</v>
      </c>
      <c r="T15" s="1" cm="1">
        <f t="array" ref="T15">R15/MAX(ABS($R$13:$R$113))</f>
        <v>0.89316337135928336</v>
      </c>
    </row>
    <row r="16" spans="1:20" x14ac:dyDescent="0.35">
      <c r="D16">
        <v>0.3</v>
      </c>
      <c r="E16">
        <v>-0.37375399999999998</v>
      </c>
      <c r="F16">
        <f t="shared" si="0"/>
        <v>0.37375399999999998</v>
      </c>
      <c r="H16">
        <v>29.971800000000002</v>
      </c>
      <c r="I16">
        <v>1.41028</v>
      </c>
      <c r="J16">
        <f t="shared" si="1"/>
        <v>2.9971800000000003E-2</v>
      </c>
      <c r="K16" s="1" cm="1">
        <f t="array" ref="K16">I16/MAX(ABS($I$13:$I$113))</f>
        <v>0.56534898357606433</v>
      </c>
      <c r="M16">
        <v>0.59589800000000004</v>
      </c>
      <c r="N16">
        <v>-0.36052800000000002</v>
      </c>
      <c r="O16">
        <f t="shared" si="2"/>
        <v>0.36052800000000002</v>
      </c>
      <c r="Q16">
        <v>29.965199999999999</v>
      </c>
      <c r="R16">
        <v>3.2328800000000002</v>
      </c>
      <c r="S16">
        <f t="shared" si="3"/>
        <v>2.9965200000000001E-2</v>
      </c>
      <c r="T16" s="1" cm="1">
        <f t="array" ref="T16">R16/MAX(ABS($R$13:$R$113))</f>
        <v>1</v>
      </c>
    </row>
    <row r="17" spans="4:22" x14ac:dyDescent="0.35">
      <c r="D17">
        <v>0.4</v>
      </c>
      <c r="E17">
        <v>-0.49833899999999998</v>
      </c>
      <c r="F17">
        <f t="shared" si="0"/>
        <v>0.49833899999999998</v>
      </c>
      <c r="H17">
        <v>39.941099999999999</v>
      </c>
      <c r="I17">
        <v>1.7610300000000001</v>
      </c>
      <c r="J17">
        <f t="shared" si="1"/>
        <v>3.99411E-2</v>
      </c>
      <c r="K17" s="1" cm="1">
        <f t="array" ref="K17">I17/MAX(ABS($I$13:$I$113))</f>
        <v>0.70595663311325174</v>
      </c>
      <c r="M17">
        <v>0.78849499999999995</v>
      </c>
      <c r="N17">
        <v>-0.47878300000000001</v>
      </c>
      <c r="O17">
        <f t="shared" si="2"/>
        <v>0.47878300000000001</v>
      </c>
      <c r="Q17">
        <v>39.950899999999997</v>
      </c>
      <c r="R17">
        <v>2.6541899999999998</v>
      </c>
      <c r="S17">
        <f t="shared" si="3"/>
        <v>3.9950899999999998E-2</v>
      </c>
      <c r="T17" s="1" cm="1">
        <f t="array" ref="T17">R17/MAX(ABS($R$13:$R$113))</f>
        <v>0.82099861423869724</v>
      </c>
    </row>
    <row r="18" spans="4:22" x14ac:dyDescent="0.35">
      <c r="D18">
        <v>0.5</v>
      </c>
      <c r="E18">
        <v>-0.62292400000000003</v>
      </c>
      <c r="F18">
        <f t="shared" si="0"/>
        <v>0.62292400000000003</v>
      </c>
      <c r="H18">
        <v>49.901800000000001</v>
      </c>
      <c r="I18">
        <v>2.0348999999999999</v>
      </c>
      <c r="J18">
        <f t="shared" si="1"/>
        <v>4.9901800000000003E-2</v>
      </c>
      <c r="K18" s="1" cm="1">
        <f t="array" ref="K18">I18/MAX(ABS($I$13:$I$113))</f>
        <v>0.81574484973121186</v>
      </c>
      <c r="M18">
        <v>0.94569899999999996</v>
      </c>
      <c r="N18">
        <v>-0.58701700000000001</v>
      </c>
      <c r="O18">
        <f t="shared" si="2"/>
        <v>0.58701700000000001</v>
      </c>
      <c r="Q18">
        <v>49.939599999999999</v>
      </c>
      <c r="R18">
        <v>1.3594299999999999</v>
      </c>
      <c r="S18">
        <f t="shared" si="3"/>
        <v>4.9939600000000001E-2</v>
      </c>
      <c r="T18" s="1" cm="1">
        <f t="array" ref="T18">R18/MAX(ABS($R$13:$R$113))</f>
        <v>0.42050122491400849</v>
      </c>
    </row>
    <row r="19" spans="4:22" x14ac:dyDescent="0.35">
      <c r="D19">
        <v>0.6</v>
      </c>
      <c r="E19">
        <v>-0.74750799999999995</v>
      </c>
      <c r="F19">
        <f t="shared" si="0"/>
        <v>0.74750799999999995</v>
      </c>
      <c r="H19">
        <v>59.856099999999998</v>
      </c>
      <c r="I19">
        <v>2.2368800000000002</v>
      </c>
      <c r="J19">
        <f t="shared" si="1"/>
        <v>5.9856099999999995E-2</v>
      </c>
      <c r="K19" s="1" cm="1">
        <f t="array" ref="K19">I19/MAX(ABS($I$13:$I$113))</f>
        <v>0.89671401025443676</v>
      </c>
      <c r="M19">
        <v>0.97770100000000004</v>
      </c>
      <c r="N19">
        <v>-0.63790999999999998</v>
      </c>
      <c r="O19">
        <f t="shared" si="2"/>
        <v>0.63790999999999998</v>
      </c>
      <c r="Q19">
        <v>59.932499999999997</v>
      </c>
      <c r="R19">
        <v>-0.237594</v>
      </c>
      <c r="S19">
        <f t="shared" si="3"/>
        <v>5.99325E-2</v>
      </c>
      <c r="T19" s="1" cm="1">
        <f t="array" ref="T19">R19/MAX(ABS($R$13:$R$113))</f>
        <v>-7.3492984583405502E-2</v>
      </c>
    </row>
    <row r="20" spans="4:22" x14ac:dyDescent="0.35">
      <c r="D20">
        <v>0.7</v>
      </c>
      <c r="E20">
        <v>-0.87209300000000001</v>
      </c>
      <c r="F20">
        <f t="shared" si="0"/>
        <v>0.87209300000000001</v>
      </c>
      <c r="H20">
        <v>69.805999999999997</v>
      </c>
      <c r="I20">
        <v>2.3751099999999998</v>
      </c>
      <c r="J20">
        <f t="shared" si="1"/>
        <v>6.9805999999999993E-2</v>
      </c>
      <c r="K20" s="1" cm="1">
        <f t="array" ref="K20">I20/MAX(ABS($I$13:$I$113))</f>
        <v>0.95212725443269863</v>
      </c>
      <c r="M20">
        <v>0.98780900000000005</v>
      </c>
      <c r="N20">
        <v>-0.68946200000000002</v>
      </c>
      <c r="O20">
        <f>-N20</f>
        <v>0.68946200000000002</v>
      </c>
      <c r="Q20">
        <v>69.929900000000004</v>
      </c>
      <c r="R20">
        <v>-1.65124</v>
      </c>
      <c r="S20">
        <f t="shared" si="3"/>
        <v>6.9929900000000003E-2</v>
      </c>
      <c r="T20" s="1" cm="1">
        <f t="array" ref="T20">R20/MAX(ABS($R$13:$R$113))</f>
        <v>-0.51076439583281774</v>
      </c>
    </row>
    <row r="21" spans="4:22" x14ac:dyDescent="0.35">
      <c r="D21">
        <v>0.8</v>
      </c>
      <c r="E21">
        <v>-0.99667799999999995</v>
      </c>
      <c r="F21">
        <f t="shared" si="0"/>
        <v>0.99667799999999995</v>
      </c>
      <c r="H21">
        <v>79.753</v>
      </c>
      <c r="I21">
        <v>2.45818</v>
      </c>
      <c r="J21">
        <f t="shared" si="1"/>
        <v>7.9753000000000004E-2</v>
      </c>
      <c r="K21" s="1" cm="1">
        <f t="array" ref="K21">I21/MAX(ABS($I$13:$I$113))</f>
        <v>0.98542811671938202</v>
      </c>
      <c r="M21">
        <v>0.99306000000000005</v>
      </c>
      <c r="N21">
        <v>-0.75357200000000002</v>
      </c>
      <c r="O21">
        <f t="shared" si="2"/>
        <v>0.75357200000000002</v>
      </c>
      <c r="Q21">
        <v>79.930599999999998</v>
      </c>
      <c r="R21">
        <v>-2.46591</v>
      </c>
      <c r="S21">
        <f t="shared" si="3"/>
        <v>7.9930600000000004E-2</v>
      </c>
      <c r="T21" s="1" cm="1">
        <f t="array" ref="T21">R21/MAX(ABS($R$13:$R$113))</f>
        <v>-0.76275952092252108</v>
      </c>
    </row>
    <row r="22" spans="4:22" x14ac:dyDescent="0.35">
      <c r="D22">
        <v>0.89979100000000001</v>
      </c>
      <c r="E22">
        <v>-1.1211800000000001</v>
      </c>
      <c r="F22">
        <f t="shared" si="0"/>
        <v>1.1211800000000001</v>
      </c>
      <c r="H22">
        <v>89.698599999999999</v>
      </c>
      <c r="I22">
        <v>2.4945300000000001</v>
      </c>
      <c r="J22">
        <f t="shared" si="1"/>
        <v>8.9698600000000003E-2</v>
      </c>
      <c r="K22" s="1" cm="1">
        <f t="array" ref="K22">I22/MAX(ABS($I$13:$I$113))</f>
        <v>1</v>
      </c>
      <c r="M22">
        <v>0.99639800000000001</v>
      </c>
      <c r="N22">
        <v>-0.83135700000000001</v>
      </c>
      <c r="O22">
        <f t="shared" si="2"/>
        <v>0.83135700000000001</v>
      </c>
      <c r="Q22">
        <v>89.932599999999994</v>
      </c>
      <c r="R22">
        <v>-2.4574199999999999</v>
      </c>
      <c r="S22">
        <f t="shared" si="3"/>
        <v>8.9932599999999988E-2</v>
      </c>
      <c r="T22" s="1" cm="1">
        <f t="array" ref="T22">R22/MAX(ABS($R$13:$R$113))</f>
        <v>-0.76013337952537674</v>
      </c>
    </row>
    <row r="23" spans="4:22" x14ac:dyDescent="0.35">
      <c r="D23">
        <v>0.98974799999999996</v>
      </c>
      <c r="E23">
        <v>-1.2427699999999999</v>
      </c>
      <c r="F23">
        <f t="shared" si="0"/>
        <v>1.2427699999999999</v>
      </c>
      <c r="H23">
        <v>99.643799999999999</v>
      </c>
      <c r="I23">
        <v>2.4922</v>
      </c>
      <c r="J23">
        <f t="shared" si="1"/>
        <v>9.9643800000000005E-2</v>
      </c>
      <c r="K23" s="1" cm="1">
        <f t="array" ref="K23">I23/MAX(ABS($I$13:$I$113))</f>
        <v>0.99906595631241146</v>
      </c>
      <c r="M23">
        <v>0.99882700000000002</v>
      </c>
      <c r="N23">
        <v>-0.922319</v>
      </c>
      <c r="O23">
        <f t="shared" si="2"/>
        <v>0.922319</v>
      </c>
      <c r="Q23">
        <v>99.933300000000003</v>
      </c>
      <c r="R23">
        <v>-1.65873</v>
      </c>
      <c r="S23">
        <f t="shared" si="3"/>
        <v>9.9933300000000003E-2</v>
      </c>
      <c r="T23" s="1" cm="1">
        <f t="array" ref="T23">R23/MAX(ABS($R$13:$R$113))</f>
        <v>-0.51308121551062824</v>
      </c>
    </row>
    <row r="24" spans="4:22" x14ac:dyDescent="0.35">
      <c r="D24">
        <v>0.99163299999999999</v>
      </c>
      <c r="E24">
        <v>-1.2478800000000001</v>
      </c>
      <c r="F24">
        <f t="shared" si="0"/>
        <v>1.2478800000000001</v>
      </c>
      <c r="H24">
        <v>109.589</v>
      </c>
      <c r="I24">
        <v>2.45865</v>
      </c>
      <c r="J24">
        <f t="shared" si="1"/>
        <v>0.10958899999999999</v>
      </c>
      <c r="K24" s="1" cm="1">
        <f t="array" ref="K24">I24/MAX(ABS($I$13:$I$113))</f>
        <v>0.98561652896537622</v>
      </c>
      <c r="M24">
        <v>1.00075</v>
      </c>
      <c r="N24">
        <v>-1.02539</v>
      </c>
      <c r="O24">
        <f t="shared" si="2"/>
        <v>1.02539</v>
      </c>
      <c r="Q24">
        <v>109.931</v>
      </c>
      <c r="R24">
        <v>-0.339868</v>
      </c>
      <c r="S24">
        <f t="shared" si="3"/>
        <v>0.109931</v>
      </c>
      <c r="T24" s="1" cm="1">
        <f t="array" ref="T24">R24/MAX(ABS($R$13:$R$113))</f>
        <v>-0.10512855410655514</v>
      </c>
    </row>
    <row r="25" spans="4:22" x14ac:dyDescent="0.35">
      <c r="D25">
        <v>0.99372899999999997</v>
      </c>
      <c r="E25">
        <v>-1.25509</v>
      </c>
      <c r="F25">
        <f t="shared" si="0"/>
        <v>1.25509</v>
      </c>
      <c r="H25">
        <v>119.536</v>
      </c>
      <c r="I25">
        <v>2.4005100000000001</v>
      </c>
      <c r="J25">
        <f t="shared" si="1"/>
        <v>0.119536</v>
      </c>
      <c r="K25" s="1" cm="1">
        <f t="array" ref="K25">I25/MAX(ABS($I$13:$I$113))</f>
        <v>0.96230953325877022</v>
      </c>
      <c r="M25">
        <v>1.00238</v>
      </c>
      <c r="N25">
        <v>-1.1392899999999999</v>
      </c>
      <c r="O25">
        <f t="shared" si="2"/>
        <v>1.1392899999999999</v>
      </c>
      <c r="Q25">
        <v>119.92400000000001</v>
      </c>
      <c r="R25">
        <v>1.0865199999999999</v>
      </c>
      <c r="S25">
        <f t="shared" si="3"/>
        <v>0.119924</v>
      </c>
      <c r="T25" s="1" cm="1">
        <f t="array" ref="T25">R25/MAX(ABS($R$13:$R$113))</f>
        <v>0.33608423449060892</v>
      </c>
    </row>
    <row r="26" spans="4:22" x14ac:dyDescent="0.35">
      <c r="D26">
        <v>0.99580800000000003</v>
      </c>
      <c r="E26">
        <v>-1.2651699999999999</v>
      </c>
      <c r="F26">
        <f t="shared" si="0"/>
        <v>1.2651699999999999</v>
      </c>
      <c r="H26">
        <v>129.48400000000001</v>
      </c>
      <c r="I26">
        <v>2.3236300000000001</v>
      </c>
      <c r="J26">
        <f t="shared" si="1"/>
        <v>0.12948400000000002</v>
      </c>
      <c r="K26" s="1" cm="1">
        <f t="array" ref="K26">I26/MAX(ABS($I$13:$I$113))</f>
        <v>0.93149010033954294</v>
      </c>
      <c r="M26">
        <v>1.00383</v>
      </c>
      <c r="N26">
        <v>-1.2628200000000001</v>
      </c>
      <c r="O26">
        <f t="shared" si="2"/>
        <v>1.2628200000000001</v>
      </c>
      <c r="Q26">
        <v>129.91399999999999</v>
      </c>
      <c r="R26">
        <v>2.1920299999999999</v>
      </c>
      <c r="S26">
        <f>Q26/1000</f>
        <v>0.12991399999999997</v>
      </c>
      <c r="T26" s="1" cm="1">
        <f t="array" ref="T26">R26/MAX(ABS($R$13:$R$113))</f>
        <v>0.67804248843136761</v>
      </c>
    </row>
    <row r="27" spans="4:22" x14ac:dyDescent="0.35">
      <c r="D27">
        <v>0.99709999999999999</v>
      </c>
      <c r="E27">
        <v>-1.2787200000000001</v>
      </c>
      <c r="F27">
        <f t="shared" si="0"/>
        <v>1.2787200000000001</v>
      </c>
      <c r="H27">
        <v>139.434</v>
      </c>
      <c r="I27">
        <v>2.2329699999999999</v>
      </c>
      <c r="J27">
        <f t="shared" si="1"/>
        <v>0.139434</v>
      </c>
      <c r="K27" s="1" cm="1">
        <f t="array" ref="K27">I27/MAX(ABS($I$13:$I$113))</f>
        <v>0.89514658071861219</v>
      </c>
      <c r="M27">
        <v>1.0051600000000001</v>
      </c>
      <c r="N27">
        <v>-1.3948700000000001</v>
      </c>
      <c r="O27">
        <f t="shared" si="2"/>
        <v>1.3948700000000001</v>
      </c>
      <c r="Q27">
        <v>139.90100000000001</v>
      </c>
      <c r="R27">
        <v>2.6572100000000001</v>
      </c>
      <c r="S27">
        <f t="shared" si="3"/>
        <v>0.139901</v>
      </c>
      <c r="T27" s="1" cm="1">
        <f t="array" ref="T27">R27/MAX(ABS($R$13:$R$113))</f>
        <v>0.82193276583108554</v>
      </c>
    </row>
    <row r="28" spans="4:22" x14ac:dyDescent="0.35">
      <c r="D28">
        <v>0.99821199999999999</v>
      </c>
      <c r="E28">
        <v>-1.2998700000000001</v>
      </c>
      <c r="F28">
        <f t="shared" si="0"/>
        <v>1.2998700000000001</v>
      </c>
      <c r="H28">
        <v>149.386</v>
      </c>
      <c r="I28">
        <v>2.1327199999999999</v>
      </c>
      <c r="J28">
        <f t="shared" si="1"/>
        <v>0.14938599999999999</v>
      </c>
      <c r="K28" s="1" cm="1">
        <f t="array" ref="K28">I28/MAX(ABS($I$13:$I$113))</f>
        <v>0.85495864952516099</v>
      </c>
      <c r="M28">
        <v>1.0064200000000001</v>
      </c>
      <c r="N28">
        <v>-1.5343100000000001</v>
      </c>
      <c r="O28">
        <f t="shared" si="2"/>
        <v>1.5343100000000001</v>
      </c>
      <c r="Q28">
        <v>149.88800000000001</v>
      </c>
      <c r="R28">
        <v>2.36592</v>
      </c>
      <c r="S28">
        <f t="shared" si="3"/>
        <v>0.14988799999999999</v>
      </c>
      <c r="T28" s="1" cm="1">
        <f t="array" ref="T28">R28/MAX(ABS($R$13:$R$113))</f>
        <v>0.73183044220632987</v>
      </c>
    </row>
    <row r="29" spans="4:22" x14ac:dyDescent="0.35">
      <c r="D29">
        <v>0.99892199999999998</v>
      </c>
      <c r="E29">
        <v>-1.33185</v>
      </c>
      <c r="F29">
        <f t="shared" si="0"/>
        <v>1.33185</v>
      </c>
      <c r="H29">
        <v>159.34</v>
      </c>
      <c r="I29">
        <v>2.0263200000000001</v>
      </c>
      <c r="J29">
        <f t="shared" si="1"/>
        <v>0.15934000000000001</v>
      </c>
      <c r="K29" s="1" cm="1">
        <f t="array" ref="K29">I29/MAX(ABS($I$13:$I$113))</f>
        <v>0.81230532404901923</v>
      </c>
      <c r="M29">
        <v>1.0076400000000001</v>
      </c>
      <c r="N29">
        <v>-1.6804300000000001</v>
      </c>
      <c r="O29">
        <f t="shared" si="2"/>
        <v>1.6804300000000001</v>
      </c>
      <c r="Q29">
        <v>159.87700000000001</v>
      </c>
      <c r="R29">
        <v>1.4358500000000001</v>
      </c>
      <c r="S29">
        <f t="shared" si="3"/>
        <v>0.15987700000000002</v>
      </c>
      <c r="T29" s="1" cm="1">
        <f t="array" ref="T29">R29/MAX(ABS($R$13:$R$113))</f>
        <v>0.44413959070550096</v>
      </c>
    </row>
    <row r="30" spans="4:22" x14ac:dyDescent="0.35">
      <c r="D30">
        <v>0.99928300000000003</v>
      </c>
      <c r="E30">
        <v>-1.3654299999999999</v>
      </c>
      <c r="F30">
        <f t="shared" si="0"/>
        <v>1.3654299999999999</v>
      </c>
      <c r="H30">
        <v>169.29599999999999</v>
      </c>
      <c r="I30">
        <v>1.91656</v>
      </c>
      <c r="J30">
        <f t="shared" si="1"/>
        <v>0.169296</v>
      </c>
      <c r="K30" s="1" cm="1">
        <f t="array" ref="K30">I30/MAX(ABS($I$13:$I$113))</f>
        <v>0.76830505145257821</v>
      </c>
      <c r="M30">
        <v>1.0088299999999999</v>
      </c>
      <c r="N30">
        <v>-1.83253</v>
      </c>
      <c r="O30">
        <f t="shared" si="2"/>
        <v>1.83253</v>
      </c>
      <c r="Q30">
        <v>169.869</v>
      </c>
      <c r="R30">
        <v>0.171261</v>
      </c>
      <c r="S30">
        <f t="shared" si="3"/>
        <v>0.16986899999999999</v>
      </c>
      <c r="T30" s="1" cm="1">
        <f t="array" ref="T30">R30/MAX(ABS($R$13:$R$113))</f>
        <v>5.2974746974833578E-2</v>
      </c>
      <c r="V30" t="s">
        <v>4</v>
      </c>
    </row>
    <row r="31" spans="4:22" x14ac:dyDescent="0.35">
      <c r="D31">
        <v>0.99946199999999996</v>
      </c>
      <c r="E31">
        <v>-1.40029</v>
      </c>
      <c r="F31">
        <f t="shared" si="0"/>
        <v>1.40029</v>
      </c>
      <c r="H31">
        <v>179.25399999999999</v>
      </c>
      <c r="I31">
        <v>1.8057000000000001</v>
      </c>
      <c r="J31">
        <f t="shared" si="1"/>
        <v>0.179254</v>
      </c>
      <c r="K31" s="1" cm="1">
        <f t="array" ref="K31">I31/MAX(ABS($I$13:$I$113))</f>
        <v>0.72386381402508693</v>
      </c>
      <c r="M31">
        <v>1.01</v>
      </c>
      <c r="N31">
        <v>-1.9899899999999999</v>
      </c>
      <c r="O31">
        <f t="shared" si="2"/>
        <v>1.9899899999999999</v>
      </c>
      <c r="Q31">
        <v>179.86500000000001</v>
      </c>
      <c r="R31">
        <v>-1.0381499999999999</v>
      </c>
      <c r="S31">
        <f t="shared" si="3"/>
        <v>0.179865</v>
      </c>
      <c r="T31" s="1" cm="1">
        <f t="array" ref="T31">R31/MAX(ABS($R$13:$R$113))</f>
        <v>-0.32112234292643088</v>
      </c>
    </row>
    <row r="32" spans="4:22" x14ac:dyDescent="0.35">
      <c r="D32">
        <v>0.99957600000000002</v>
      </c>
      <c r="E32">
        <v>-1.4361200000000001</v>
      </c>
      <c r="F32">
        <f t="shared" si="0"/>
        <v>1.4361200000000001</v>
      </c>
      <c r="H32">
        <v>189.215</v>
      </c>
      <c r="I32">
        <v>1.6955100000000001</v>
      </c>
      <c r="J32">
        <f t="shared" si="1"/>
        <v>0.18921499999999999</v>
      </c>
      <c r="K32" s="1" cm="1">
        <f t="array" ref="K32">I32/MAX(ABS($I$13:$I$113))</f>
        <v>0.67969116426741705</v>
      </c>
      <c r="M32">
        <v>1.0111699999999999</v>
      </c>
      <c r="N32">
        <v>-2.1523400000000001</v>
      </c>
      <c r="O32">
        <f t="shared" si="2"/>
        <v>2.1523400000000001</v>
      </c>
      <c r="Q32">
        <v>189.864</v>
      </c>
      <c r="R32">
        <v>-1.8345800000000001</v>
      </c>
      <c r="S32">
        <f t="shared" si="3"/>
        <v>0.189864</v>
      </c>
      <c r="T32" s="1" cm="1">
        <f t="array" ref="T32">R32/MAX(ABS($R$13:$R$113))</f>
        <v>-0.56747543985548488</v>
      </c>
    </row>
    <row r="33" spans="4:20" x14ac:dyDescent="0.35">
      <c r="D33">
        <v>0.999664</v>
      </c>
      <c r="E33">
        <v>-1.4753400000000001</v>
      </c>
      <c r="F33">
        <f t="shared" si="0"/>
        <v>1.4753400000000001</v>
      </c>
      <c r="H33">
        <v>199.178</v>
      </c>
      <c r="I33">
        <v>1.5873699999999999</v>
      </c>
      <c r="J33">
        <f t="shared" si="1"/>
        <v>0.19917799999999999</v>
      </c>
      <c r="K33" s="1" cm="1">
        <f t="array" ref="K33">I33/MAX(ABS($I$13:$I$113))</f>
        <v>0.6363403126039775</v>
      </c>
      <c r="M33">
        <v>1.01234</v>
      </c>
      <c r="N33">
        <v>-2.3190300000000001</v>
      </c>
      <c r="O33">
        <f t="shared" si="2"/>
        <v>2.3190300000000001</v>
      </c>
      <c r="Q33">
        <v>199.864</v>
      </c>
      <c r="R33">
        <v>-1.99617</v>
      </c>
      <c r="S33">
        <f t="shared" si="3"/>
        <v>0.19986400000000001</v>
      </c>
      <c r="T33" s="1" cm="1">
        <f t="array" ref="T33">R33/MAX(ABS($R$13:$R$113))</f>
        <v>-0.61745873648264082</v>
      </c>
    </row>
    <row r="34" spans="4:20" x14ac:dyDescent="0.35">
      <c r="D34">
        <v>0.99971200000000005</v>
      </c>
      <c r="E34">
        <v>-1.5141100000000001</v>
      </c>
      <c r="F34">
        <f t="shared" si="0"/>
        <v>1.5141100000000001</v>
      </c>
      <c r="H34">
        <v>209.143</v>
      </c>
      <c r="I34">
        <v>1.4823500000000001</v>
      </c>
      <c r="J34">
        <f t="shared" si="1"/>
        <v>0.209143</v>
      </c>
      <c r="K34" s="1" cm="1">
        <f t="array" ref="K34">I34/MAX(ABS($I$13:$I$113))</f>
        <v>0.59424019755224433</v>
      </c>
      <c r="M34">
        <v>1.01352</v>
      </c>
      <c r="N34">
        <v>-2.49193</v>
      </c>
      <c r="O34">
        <f t="shared" si="2"/>
        <v>2.49193</v>
      </c>
      <c r="Q34">
        <v>209.864</v>
      </c>
      <c r="R34">
        <v>-1.50037</v>
      </c>
      <c r="S34">
        <f t="shared" si="3"/>
        <v>0.20986399999999999</v>
      </c>
      <c r="T34" s="1" cm="1">
        <f t="array" ref="T34">R34/MAX(ABS($R$13:$R$113))</f>
        <v>-0.4640970280369206</v>
      </c>
    </row>
    <row r="35" spans="4:20" x14ac:dyDescent="0.35">
      <c r="D35">
        <v>0.99974600000000002</v>
      </c>
      <c r="E35">
        <v>-1.55318</v>
      </c>
      <c r="F35">
        <f t="shared" si="0"/>
        <v>1.55318</v>
      </c>
      <c r="H35">
        <v>219.10900000000001</v>
      </c>
      <c r="I35">
        <v>1.3812199999999999</v>
      </c>
      <c r="J35">
        <f t="shared" si="1"/>
        <v>0.219109</v>
      </c>
      <c r="K35" s="1" cm="1">
        <f t="array" ref="K35">I35/MAX(ABS($I$13:$I$113))</f>
        <v>0.55369949449395273</v>
      </c>
      <c r="M35">
        <v>1.01352</v>
      </c>
      <c r="N35">
        <v>-2.49193</v>
      </c>
      <c r="O35">
        <f t="shared" si="2"/>
        <v>2.49193</v>
      </c>
      <c r="Q35">
        <v>219.86199999999999</v>
      </c>
      <c r="R35">
        <v>-0.52314899999999998</v>
      </c>
      <c r="S35">
        <f t="shared" si="3"/>
        <v>0.219862</v>
      </c>
      <c r="T35" s="1" cm="1">
        <f t="array" ref="T35">R35/MAX(ABS($R$13:$R$113))</f>
        <v>-0.16182134814778154</v>
      </c>
    </row>
    <row r="36" spans="4:20" x14ac:dyDescent="0.35">
      <c r="D36">
        <v>0.99977400000000005</v>
      </c>
      <c r="E36">
        <v>-1.5931599999999999</v>
      </c>
      <c r="F36">
        <f t="shared" si="0"/>
        <v>1.5931599999999999</v>
      </c>
      <c r="H36">
        <v>229.078</v>
      </c>
      <c r="I36">
        <v>1.2845599999999999</v>
      </c>
      <c r="J36">
        <f t="shared" si="1"/>
        <v>0.229078</v>
      </c>
      <c r="K36" s="1" cm="1">
        <f t="array" ref="K36">I36/MAX(ABS($I$13:$I$113))</f>
        <v>0.5149507121582021</v>
      </c>
      <c r="M36">
        <v>1.01352</v>
      </c>
      <c r="N36">
        <v>-2.49193</v>
      </c>
      <c r="O36">
        <f t="shared" si="2"/>
        <v>2.49193</v>
      </c>
      <c r="Q36">
        <v>229.85599999999999</v>
      </c>
      <c r="R36">
        <v>0.62424199999999996</v>
      </c>
      <c r="S36">
        <f t="shared" si="3"/>
        <v>0.229856</v>
      </c>
      <c r="T36" s="1" cm="1">
        <f t="array" ref="T36">R36/MAX(ABS($R$13:$R$113))</f>
        <v>0.19309160872039788</v>
      </c>
    </row>
    <row r="37" spans="4:20" x14ac:dyDescent="0.35">
      <c r="D37">
        <v>0.99979899999999999</v>
      </c>
      <c r="E37">
        <v>-1.63388</v>
      </c>
      <c r="F37">
        <f t="shared" si="0"/>
        <v>1.63388</v>
      </c>
      <c r="H37">
        <v>239.04900000000001</v>
      </c>
      <c r="I37">
        <v>1.19278</v>
      </c>
      <c r="J37">
        <f t="shared" si="1"/>
        <v>0.23904900000000001</v>
      </c>
      <c r="K37" s="1" cm="1">
        <f t="array" ref="K37">I37/MAX(ABS($I$13:$I$113))</f>
        <v>0.47815821016383842</v>
      </c>
      <c r="M37">
        <v>1.01352</v>
      </c>
      <c r="N37">
        <v>-2.49193</v>
      </c>
      <c r="O37">
        <f t="shared" si="2"/>
        <v>2.49193</v>
      </c>
      <c r="Q37">
        <v>239.84700000000001</v>
      </c>
      <c r="R37">
        <v>1.5937300000000001</v>
      </c>
      <c r="S37">
        <f t="shared" si="3"/>
        <v>0.239847</v>
      </c>
      <c r="T37" s="1" cm="1">
        <f t="array" ref="T37">R37/MAX(ABS($R$13:$R$113))</f>
        <v>0.4929753037539284</v>
      </c>
    </row>
    <row r="38" spans="4:20" x14ac:dyDescent="0.35">
      <c r="D38">
        <v>0.99982099999999996</v>
      </c>
      <c r="E38">
        <v>-1.67526</v>
      </c>
      <c r="F38">
        <f t="shared" si="0"/>
        <v>1.67526</v>
      </c>
      <c r="H38">
        <v>249.02099999999999</v>
      </c>
      <c r="I38">
        <v>1.1061300000000001</v>
      </c>
      <c r="J38">
        <f t="shared" si="1"/>
        <v>0.24902099999999999</v>
      </c>
      <c r="K38" s="1" cm="1">
        <f t="array" ref="K38">I38/MAX(ABS($I$13:$I$113))</f>
        <v>0.44342220779064595</v>
      </c>
      <c r="M38">
        <v>1.01352</v>
      </c>
      <c r="N38">
        <v>-2.49193</v>
      </c>
      <c r="O38">
        <f t="shared" si="2"/>
        <v>2.49193</v>
      </c>
      <c r="Q38">
        <v>249.83600000000001</v>
      </c>
      <c r="R38">
        <v>2.1034299999999999</v>
      </c>
      <c r="S38">
        <f t="shared" si="3"/>
        <v>0.249836</v>
      </c>
      <c r="T38" s="1" cm="1">
        <f t="array" ref="T38">R38/MAX(ABS($R$13:$R$113))</f>
        <v>0.65063658409838898</v>
      </c>
    </row>
    <row r="39" spans="4:20" x14ac:dyDescent="0.35">
      <c r="D39">
        <v>0.99983999999999995</v>
      </c>
      <c r="E39">
        <v>-1.7173700000000001</v>
      </c>
      <c r="F39">
        <f t="shared" si="0"/>
        <v>1.7173700000000001</v>
      </c>
      <c r="H39">
        <v>258.995</v>
      </c>
      <c r="I39">
        <v>1.02478</v>
      </c>
      <c r="J39">
        <f t="shared" si="1"/>
        <v>0.25899500000000003</v>
      </c>
      <c r="K39" s="1" cm="1">
        <f t="array" ref="K39">I39/MAX(ABS($I$13:$I$113))</f>
        <v>0.41081085414887775</v>
      </c>
      <c r="M39">
        <v>1.01352</v>
      </c>
      <c r="N39">
        <v>-2.49193</v>
      </c>
      <c r="O39">
        <f t="shared" si="2"/>
        <v>2.49193</v>
      </c>
      <c r="Q39">
        <v>259.82499999999999</v>
      </c>
      <c r="R39">
        <v>2.0196900000000002</v>
      </c>
      <c r="S39">
        <f t="shared" si="3"/>
        <v>0.25982499999999997</v>
      </c>
      <c r="T39" s="1" cm="1">
        <f t="array" ref="T39">R39/MAX(ABS($R$13:$R$113))</f>
        <v>0.62473398332137287</v>
      </c>
    </row>
    <row r="40" spans="4:20" x14ac:dyDescent="0.35">
      <c r="D40">
        <v>0.99985599999999997</v>
      </c>
      <c r="E40">
        <v>-1.7601599999999999</v>
      </c>
      <c r="F40">
        <f t="shared" si="0"/>
        <v>1.7601599999999999</v>
      </c>
      <c r="H40">
        <v>268.971</v>
      </c>
      <c r="I40">
        <v>0.948797</v>
      </c>
      <c r="J40">
        <f t="shared" si="1"/>
        <v>0.26897100000000002</v>
      </c>
      <c r="K40" s="1" cm="1">
        <f t="array" ref="K40">I40/MAX(ABS($I$13:$I$113))</f>
        <v>0.38035100800551602</v>
      </c>
      <c r="M40">
        <v>1.01352</v>
      </c>
      <c r="N40">
        <v>-2.49193</v>
      </c>
      <c r="O40">
        <f t="shared" si="2"/>
        <v>2.49193</v>
      </c>
      <c r="Q40">
        <v>269.81400000000002</v>
      </c>
      <c r="R40">
        <v>1.3929400000000001</v>
      </c>
      <c r="S40">
        <f t="shared" si="3"/>
        <v>0.269814</v>
      </c>
      <c r="T40" s="1" cm="1">
        <f t="array" ref="T40">R40/MAX(ABS($R$13:$R$113))</f>
        <v>0.43086659572888569</v>
      </c>
    </row>
    <row r="41" spans="4:20" x14ac:dyDescent="0.35">
      <c r="D41">
        <v>0.99987099999999995</v>
      </c>
      <c r="E41">
        <v>-1.80358</v>
      </c>
      <c r="F41">
        <f t="shared" si="0"/>
        <v>1.80358</v>
      </c>
      <c r="H41">
        <v>278.94799999999998</v>
      </c>
      <c r="I41">
        <v>0.87819499999999995</v>
      </c>
      <c r="J41">
        <f t="shared" si="1"/>
        <v>0.27894799999999997</v>
      </c>
      <c r="K41" s="1" cm="1">
        <f t="array" ref="K41">I41/MAX(ABS($I$13:$I$113))</f>
        <v>0.35204828164022878</v>
      </c>
      <c r="M41">
        <v>1.01352</v>
      </c>
      <c r="N41">
        <v>-2.49193</v>
      </c>
      <c r="O41">
        <f t="shared" si="2"/>
        <v>2.49193</v>
      </c>
      <c r="Q41">
        <v>279.80599999999998</v>
      </c>
      <c r="R41">
        <v>0.43413099999999999</v>
      </c>
      <c r="S41">
        <f t="shared" si="3"/>
        <v>0.279806</v>
      </c>
      <c r="T41" s="1" cm="1">
        <f t="array" ref="T41">R41/MAX(ABS($R$13:$R$113))</f>
        <v>0.13428614733612135</v>
      </c>
    </row>
    <row r="42" spans="4:20" x14ac:dyDescent="0.35">
      <c r="D42">
        <v>0.999884</v>
      </c>
      <c r="E42">
        <v>-1.84758</v>
      </c>
      <c r="F42">
        <f t="shared" si="0"/>
        <v>1.84758</v>
      </c>
      <c r="H42">
        <v>288.92599999999999</v>
      </c>
      <c r="I42">
        <v>0.81293899999999997</v>
      </c>
      <c r="J42">
        <f t="shared" si="1"/>
        <v>0.28892599999999996</v>
      </c>
      <c r="K42" s="1" cm="1">
        <f t="array" ref="K42">I42/MAX(ABS($I$13:$I$113))</f>
        <v>0.32588864435384618</v>
      </c>
      <c r="M42">
        <v>1.01352</v>
      </c>
      <c r="N42">
        <v>-2.49193</v>
      </c>
      <c r="O42">
        <f t="shared" si="2"/>
        <v>2.49193</v>
      </c>
      <c r="Q42">
        <v>289.80099999999999</v>
      </c>
      <c r="R42">
        <v>-0.55704399999999998</v>
      </c>
      <c r="S42">
        <f t="shared" si="3"/>
        <v>0.28980099999999998</v>
      </c>
      <c r="T42" s="1" cm="1">
        <f t="array" ref="T42">R42/MAX(ABS($R$13:$R$113))</f>
        <v>-0.1723058078246022</v>
      </c>
    </row>
    <row r="43" spans="4:20" x14ac:dyDescent="0.35">
      <c r="D43">
        <v>0.99989499999999998</v>
      </c>
      <c r="E43">
        <v>-1.89228</v>
      </c>
      <c r="F43">
        <f t="shared" si="0"/>
        <v>1.89228</v>
      </c>
      <c r="H43">
        <v>298.90600000000001</v>
      </c>
      <c r="I43">
        <v>0.75295699999999999</v>
      </c>
      <c r="J43">
        <f t="shared" si="1"/>
        <v>0.29890600000000001</v>
      </c>
      <c r="K43" s="1" cm="1">
        <f t="array" ref="K43">I43/MAX(ABS($I$13:$I$113))</f>
        <v>0.3018432329937904</v>
      </c>
      <c r="M43">
        <v>1.01352</v>
      </c>
      <c r="N43">
        <v>-2.49193</v>
      </c>
      <c r="O43">
        <f t="shared" si="2"/>
        <v>2.49193</v>
      </c>
      <c r="Q43">
        <v>299.798</v>
      </c>
      <c r="R43">
        <v>-1.28468</v>
      </c>
      <c r="S43">
        <f t="shared" si="3"/>
        <v>0.29979800000000001</v>
      </c>
      <c r="T43" s="1" cm="1">
        <f t="array" ref="T43">R43/MAX(ABS($R$13:$R$113))</f>
        <v>-0.39737942639380364</v>
      </c>
    </row>
    <row r="44" spans="4:20" x14ac:dyDescent="0.35">
      <c r="D44">
        <v>0.99990500000000004</v>
      </c>
      <c r="E44">
        <v>-1.93773</v>
      </c>
      <c r="F44">
        <f t="shared" si="0"/>
        <v>1.93773</v>
      </c>
      <c r="H44">
        <v>308.88600000000002</v>
      </c>
      <c r="I44">
        <v>0.69815099999999997</v>
      </c>
      <c r="J44">
        <f t="shared" si="1"/>
        <v>0.30888600000000005</v>
      </c>
      <c r="K44" s="1" cm="1">
        <f t="array" ref="K44">I44/MAX(ABS($I$13:$I$113))</f>
        <v>0.279872761602386</v>
      </c>
      <c r="M44">
        <v>1.01352</v>
      </c>
      <c r="N44">
        <v>-2.49193</v>
      </c>
      <c r="O44">
        <f t="shared" si="2"/>
        <v>2.49193</v>
      </c>
      <c r="Q44">
        <v>309.79700000000003</v>
      </c>
      <c r="R44">
        <v>-1.5435000000000001</v>
      </c>
      <c r="S44">
        <f t="shared" si="3"/>
        <v>0.30979700000000004</v>
      </c>
      <c r="T44" s="1" cm="1">
        <f t="array" ref="T44">R44/MAX(ABS($R$13:$R$113))</f>
        <v>-0.47743807379178937</v>
      </c>
    </row>
    <row r="45" spans="4:20" x14ac:dyDescent="0.35">
      <c r="D45">
        <v>0.99991399999999997</v>
      </c>
      <c r="E45">
        <v>-1.9837400000000001</v>
      </c>
      <c r="F45">
        <f t="shared" si="0"/>
        <v>1.9837400000000001</v>
      </c>
      <c r="H45">
        <v>318.86799999999999</v>
      </c>
      <c r="I45">
        <v>0.64840200000000003</v>
      </c>
      <c r="J45">
        <f t="shared" si="1"/>
        <v>0.31886799999999998</v>
      </c>
      <c r="K45" s="1" cm="1">
        <f t="array" ref="K45">I45/MAX(ABS($I$13:$I$113))</f>
        <v>0.25992952580245576</v>
      </c>
      <c r="M45">
        <v>1.01352</v>
      </c>
      <c r="N45">
        <v>-2.49193</v>
      </c>
      <c r="O45">
        <f t="shared" si="2"/>
        <v>2.49193</v>
      </c>
      <c r="Q45">
        <v>319.79500000000002</v>
      </c>
      <c r="R45">
        <v>-1.27694</v>
      </c>
      <c r="S45">
        <f t="shared" si="3"/>
        <v>0.319795</v>
      </c>
      <c r="T45" s="1" cm="1">
        <f t="array" ref="T45">R45/MAX(ABS($R$13:$R$113))</f>
        <v>-0.39498527628615965</v>
      </c>
    </row>
    <row r="46" spans="4:20" x14ac:dyDescent="0.35">
      <c r="D46">
        <v>0.99992199999999998</v>
      </c>
      <c r="E46">
        <v>-2.03023</v>
      </c>
      <c r="F46">
        <f t="shared" si="0"/>
        <v>2.03023</v>
      </c>
      <c r="H46">
        <v>328.851</v>
      </c>
      <c r="I46">
        <v>0.60357300000000003</v>
      </c>
      <c r="J46">
        <f t="shared" si="1"/>
        <v>0.328851</v>
      </c>
      <c r="K46" s="1" cm="1">
        <f t="array" ref="K46">I46/MAX(ABS($I$13:$I$113))</f>
        <v>0.24195860542867795</v>
      </c>
      <c r="M46">
        <v>1.01352</v>
      </c>
      <c r="N46">
        <v>-2.49193</v>
      </c>
      <c r="O46">
        <f t="shared" si="2"/>
        <v>2.49193</v>
      </c>
      <c r="Q46">
        <v>329.79300000000001</v>
      </c>
      <c r="R46">
        <v>-0.58818899999999996</v>
      </c>
      <c r="S46">
        <f t="shared" si="3"/>
        <v>0.329793</v>
      </c>
      <c r="T46" s="1" cm="1">
        <f t="array" ref="T46">R46/MAX(ABS($R$13:$R$113))</f>
        <v>-0.18193963277325478</v>
      </c>
    </row>
    <row r="47" spans="4:20" x14ac:dyDescent="0.35">
      <c r="D47">
        <v>0.99992899999999996</v>
      </c>
      <c r="E47">
        <v>-2.0772400000000002</v>
      </c>
      <c r="F47">
        <f>-E47</f>
        <v>2.0772400000000002</v>
      </c>
      <c r="H47">
        <v>338.834</v>
      </c>
      <c r="I47">
        <v>0.56351399999999996</v>
      </c>
      <c r="J47">
        <f t="shared" si="1"/>
        <v>0.33883400000000002</v>
      </c>
      <c r="K47" s="1" cm="1">
        <f t="array" ref="K47">I47/MAX(ABS($I$13:$I$113))</f>
        <v>0.22589986891318201</v>
      </c>
      <c r="M47">
        <v>1.01352</v>
      </c>
      <c r="N47">
        <v>-2.49193</v>
      </c>
      <c r="O47">
        <f t="shared" si="2"/>
        <v>2.49193</v>
      </c>
      <c r="Q47">
        <v>339.78800000000001</v>
      </c>
      <c r="R47">
        <v>0.29877100000000001</v>
      </c>
      <c r="S47">
        <f t="shared" si="3"/>
        <v>0.33978800000000003</v>
      </c>
      <c r="T47" s="1" cm="1">
        <f t="array" ref="T47">R47/MAX(ABS($R$13:$R$113))</f>
        <v>9.2416359407092127E-2</v>
      </c>
    </row>
    <row r="48" spans="4:20" x14ac:dyDescent="0.35">
      <c r="D48">
        <v>0.99993600000000005</v>
      </c>
      <c r="E48">
        <v>-2.1247199999999999</v>
      </c>
      <c r="F48">
        <f t="shared" si="0"/>
        <v>2.1247199999999999</v>
      </c>
      <c r="H48">
        <v>348.81799999999998</v>
      </c>
      <c r="I48">
        <v>0.52803299999999997</v>
      </c>
      <c r="J48">
        <f t="shared" si="1"/>
        <v>0.34881799999999996</v>
      </c>
      <c r="K48" s="1" cm="1">
        <f t="array" ref="K48">I48/MAX(ABS($I$13:$I$113))</f>
        <v>0.21167634784909378</v>
      </c>
      <c r="M48">
        <v>1.01352</v>
      </c>
      <c r="N48">
        <v>-2.49193</v>
      </c>
      <c r="O48">
        <f t="shared" si="2"/>
        <v>2.49193</v>
      </c>
      <c r="Q48">
        <v>349.78</v>
      </c>
      <c r="R48">
        <v>1.11175</v>
      </c>
      <c r="S48">
        <f t="shared" si="3"/>
        <v>0.34977999999999998</v>
      </c>
      <c r="T48" s="1" cm="1">
        <f t="array" ref="T48">R48/MAX(ABS($R$13:$R$113))</f>
        <v>0.34388842146940191</v>
      </c>
    </row>
    <row r="49" spans="4:20" x14ac:dyDescent="0.35">
      <c r="D49">
        <v>0.99994099999999997</v>
      </c>
      <c r="E49">
        <v>-2.1726299999999998</v>
      </c>
      <c r="F49">
        <f t="shared" si="0"/>
        <v>2.1726299999999998</v>
      </c>
      <c r="H49">
        <v>358.803</v>
      </c>
      <c r="I49">
        <v>0.49695600000000001</v>
      </c>
      <c r="J49">
        <f t="shared" si="1"/>
        <v>0.35880299999999998</v>
      </c>
      <c r="K49" s="1" cm="1">
        <f t="array" ref="K49">I49/MAX(ABS($I$13:$I$113))</f>
        <v>0.19921828961768348</v>
      </c>
      <c r="M49">
        <v>1.01352</v>
      </c>
      <c r="N49">
        <v>-2.49193</v>
      </c>
      <c r="O49">
        <f t="shared" si="2"/>
        <v>2.49193</v>
      </c>
      <c r="Q49">
        <v>359.77100000000002</v>
      </c>
      <c r="R49">
        <v>1.6124499999999999</v>
      </c>
      <c r="S49">
        <f t="shared" si="3"/>
        <v>0.35977100000000001</v>
      </c>
      <c r="T49" s="1" cm="1">
        <f t="array" ref="T49">R49/MAX(ABS($R$13:$R$113))</f>
        <v>0.4987658063398579</v>
      </c>
    </row>
    <row r="50" spans="4:20" x14ac:dyDescent="0.35">
      <c r="D50">
        <v>0.99994300000000003</v>
      </c>
      <c r="E50">
        <v>-2.1823700000000001</v>
      </c>
      <c r="F50">
        <f t="shared" si="0"/>
        <v>2.1823700000000001</v>
      </c>
      <c r="H50">
        <v>368.78800000000001</v>
      </c>
      <c r="I50">
        <v>0.47009699999999999</v>
      </c>
      <c r="J50">
        <f t="shared" si="1"/>
        <v>0.368788</v>
      </c>
      <c r="K50" s="1" cm="1">
        <f t="array" ref="K50">I50/MAX(ABS($I$13:$I$113))</f>
        <v>0.18845113107479164</v>
      </c>
      <c r="M50">
        <v>1.01352</v>
      </c>
      <c r="N50">
        <v>-2.49193</v>
      </c>
      <c r="O50">
        <f t="shared" si="2"/>
        <v>2.49193</v>
      </c>
      <c r="Q50">
        <v>369.76</v>
      </c>
      <c r="R50">
        <v>1.66574</v>
      </c>
      <c r="S50">
        <f t="shared" si="3"/>
        <v>0.36975999999999998</v>
      </c>
      <c r="T50" s="1" cm="1">
        <f t="array" ref="T50">R50/MAX(ABS($R$13:$R$113))</f>
        <v>0.51524956076315853</v>
      </c>
    </row>
    <row r="51" spans="4:20" x14ac:dyDescent="0.35">
      <c r="D51">
        <v>0.99994300000000003</v>
      </c>
      <c r="E51">
        <v>-2.1829399999999999</v>
      </c>
      <c r="F51">
        <f t="shared" si="0"/>
        <v>2.1829399999999999</v>
      </c>
      <c r="H51">
        <v>378.774</v>
      </c>
      <c r="I51">
        <v>0.44723000000000002</v>
      </c>
      <c r="J51">
        <f t="shared" si="1"/>
        <v>0.378774</v>
      </c>
      <c r="K51" s="1" cm="1">
        <f t="array" ref="K51">I51/MAX(ABS($I$13:$I$113))</f>
        <v>0.17928427399149338</v>
      </c>
      <c r="M51">
        <v>1.01352</v>
      </c>
      <c r="N51">
        <v>-2.49193</v>
      </c>
      <c r="O51">
        <f t="shared" si="2"/>
        <v>2.49193</v>
      </c>
      <c r="Q51">
        <v>379.75</v>
      </c>
      <c r="R51">
        <v>1.27634</v>
      </c>
      <c r="S51">
        <f t="shared" si="3"/>
        <v>0.37974999999999998</v>
      </c>
      <c r="T51" s="1" cm="1">
        <f t="array" ref="T51">R51/MAX(ABS($R$13:$R$113))</f>
        <v>0.39479968325455939</v>
      </c>
    </row>
    <row r="52" spans="4:20" x14ac:dyDescent="0.35">
      <c r="D52">
        <v>0.99994400000000006</v>
      </c>
      <c r="E52">
        <v>-2.1926000000000001</v>
      </c>
      <c r="F52">
        <f t="shared" si="0"/>
        <v>2.1926000000000001</v>
      </c>
      <c r="H52">
        <v>388.76</v>
      </c>
      <c r="I52">
        <v>0.42812899999999998</v>
      </c>
      <c r="J52">
        <f t="shared" si="1"/>
        <v>0.38875999999999999</v>
      </c>
      <c r="K52" s="1" cm="1">
        <f t="array" ref="K52">I52/MAX(ABS($I$13:$I$113))</f>
        <v>0.17162712013886383</v>
      </c>
      <c r="M52">
        <v>1.01352</v>
      </c>
      <c r="N52">
        <v>-2.49193</v>
      </c>
      <c r="O52">
        <f t="shared" si="2"/>
        <v>2.49193</v>
      </c>
      <c r="Q52">
        <v>389.74200000000002</v>
      </c>
      <c r="R52">
        <v>0.58099100000000004</v>
      </c>
      <c r="S52">
        <f t="shared" si="3"/>
        <v>0.38974200000000003</v>
      </c>
      <c r="T52" s="1" cm="1">
        <f t="array" ref="T52">R52/MAX(ABS($R$13:$R$113))</f>
        <v>0.17971313503748979</v>
      </c>
    </row>
    <row r="53" spans="4:20" x14ac:dyDescent="0.35">
      <c r="D53">
        <v>0.99994400000000006</v>
      </c>
      <c r="E53">
        <v>-2.1931699999999998</v>
      </c>
      <c r="F53">
        <f t="shared" si="0"/>
        <v>2.1931699999999998</v>
      </c>
      <c r="H53">
        <v>398.74700000000001</v>
      </c>
      <c r="I53">
        <v>0.412551</v>
      </c>
      <c r="J53">
        <f t="shared" si="1"/>
        <v>0.39874700000000002</v>
      </c>
      <c r="K53" s="1" cm="1">
        <f t="array" ref="K53">I53/MAX(ABS($I$13:$I$113))</f>
        <v>0.16538225637695275</v>
      </c>
      <c r="M53">
        <v>1.01352</v>
      </c>
      <c r="N53">
        <v>-2.49193</v>
      </c>
      <c r="O53">
        <f t="shared" si="2"/>
        <v>2.49193</v>
      </c>
      <c r="Q53">
        <v>399.73599999999999</v>
      </c>
      <c r="R53">
        <v>-0.19939799999999999</v>
      </c>
      <c r="S53">
        <f t="shared" si="3"/>
        <v>0.39973599999999998</v>
      </c>
      <c r="T53" s="1" cm="1">
        <f t="array" ref="T53">R53/MAX(ABS($R$13:$R$113))</f>
        <v>-6.1678132191729969E-2</v>
      </c>
    </row>
    <row r="54" spans="4:20" x14ac:dyDescent="0.35">
      <c r="D54">
        <v>0.99994499999999997</v>
      </c>
      <c r="E54">
        <v>-2.2014200000000002</v>
      </c>
      <c r="F54">
        <f t="shared" si="0"/>
        <v>2.2014200000000002</v>
      </c>
      <c r="H54">
        <v>408.73399999999998</v>
      </c>
      <c r="I54">
        <v>0.40022799999999997</v>
      </c>
      <c r="J54">
        <f t="shared" si="1"/>
        <v>0.40873399999999999</v>
      </c>
      <c r="K54" s="1" cm="1">
        <f t="array" ref="K54">I54/MAX(ABS($I$13:$I$113))</f>
        <v>0.16044224763783155</v>
      </c>
      <c r="M54">
        <v>1.01352</v>
      </c>
      <c r="N54">
        <v>-2.49193</v>
      </c>
      <c r="O54">
        <f t="shared" si="2"/>
        <v>2.49193</v>
      </c>
      <c r="Q54">
        <v>409.73200000000003</v>
      </c>
      <c r="R54">
        <v>-0.82942099999999996</v>
      </c>
      <c r="S54">
        <f t="shared" si="3"/>
        <v>0.40973200000000004</v>
      </c>
      <c r="T54" s="1" cm="1">
        <f t="array" ref="T54">R54/MAX(ABS($R$13:$R$113))</f>
        <v>-0.2565579297715968</v>
      </c>
    </row>
    <row r="55" spans="4:20" x14ac:dyDescent="0.35">
      <c r="D55">
        <v>0.99994499999999997</v>
      </c>
      <c r="E55">
        <v>-2.2019799999999998</v>
      </c>
      <c r="F55">
        <f t="shared" si="0"/>
        <v>2.2019799999999998</v>
      </c>
      <c r="H55">
        <v>418.721</v>
      </c>
      <c r="I55">
        <v>0.39086700000000002</v>
      </c>
      <c r="J55">
        <f t="shared" si="1"/>
        <v>0.41872100000000001</v>
      </c>
      <c r="K55" s="1" cm="1">
        <f t="array" ref="K55">I55/MAX(ABS($I$13:$I$113))</f>
        <v>0.15668963692559321</v>
      </c>
      <c r="M55">
        <v>1.01352</v>
      </c>
      <c r="N55">
        <v>-2.49193</v>
      </c>
      <c r="O55">
        <f t="shared" si="2"/>
        <v>2.49193</v>
      </c>
      <c r="Q55">
        <v>419.73</v>
      </c>
      <c r="R55">
        <v>-1.12921</v>
      </c>
      <c r="S55">
        <f t="shared" si="3"/>
        <v>0.41972999999999999</v>
      </c>
      <c r="T55" s="1" cm="1">
        <f t="array" ref="T55">R55/MAX(ABS($R$13:$R$113))</f>
        <v>-0.3492891786889708</v>
      </c>
    </row>
    <row r="56" spans="4:20" x14ac:dyDescent="0.35">
      <c r="D56">
        <v>0.99995500000000004</v>
      </c>
      <c r="E56">
        <v>-2.2019899999999999</v>
      </c>
      <c r="F56">
        <f t="shared" si="0"/>
        <v>2.2019899999999999</v>
      </c>
      <c r="H56">
        <v>428.70800000000003</v>
      </c>
      <c r="I56">
        <v>0.38414300000000001</v>
      </c>
      <c r="J56">
        <f t="shared" si="1"/>
        <v>0.42870800000000003</v>
      </c>
      <c r="K56" s="1" cm="1">
        <f t="array" ref="K56">I56/MAX(ABS($I$13:$I$113))</f>
        <v>0.15399413917651822</v>
      </c>
      <c r="M56">
        <v>1.01352</v>
      </c>
      <c r="N56">
        <v>-2.49193</v>
      </c>
      <c r="O56">
        <f t="shared" si="2"/>
        <v>2.49193</v>
      </c>
      <c r="Q56">
        <v>429.72699999999998</v>
      </c>
      <c r="R56">
        <v>-1.02542</v>
      </c>
      <c r="S56">
        <f t="shared" si="3"/>
        <v>0.42972699999999997</v>
      </c>
      <c r="T56" s="1" cm="1">
        <f t="array" ref="T56">R56/MAX(ABS($R$13:$R$113))</f>
        <v>-0.31718467743931106</v>
      </c>
    </row>
    <row r="57" spans="4:20" x14ac:dyDescent="0.35">
      <c r="D57">
        <v>0.99996600000000002</v>
      </c>
      <c r="E57">
        <v>-2.20201</v>
      </c>
      <c r="F57">
        <f t="shared" si="0"/>
        <v>2.20201</v>
      </c>
      <c r="H57">
        <v>438.69600000000003</v>
      </c>
      <c r="I57">
        <v>0.37969199999999997</v>
      </c>
      <c r="J57">
        <f t="shared" si="1"/>
        <v>0.43869600000000003</v>
      </c>
      <c r="K57" s="1" cm="1">
        <f t="array" ref="K57">I57/MAX(ABS($I$13:$I$113))</f>
        <v>0.15220983511924088</v>
      </c>
      <c r="M57">
        <v>1.01352</v>
      </c>
      <c r="N57">
        <v>-2.49193</v>
      </c>
      <c r="O57">
        <f t="shared" si="2"/>
        <v>2.49193</v>
      </c>
      <c r="Q57">
        <v>439.72399999999999</v>
      </c>
      <c r="R57">
        <v>-0.56837499999999996</v>
      </c>
      <c r="S57">
        <f t="shared" si="3"/>
        <v>0.439724</v>
      </c>
      <c r="T57" s="1" cm="1">
        <f t="array" ref="T57">R57/MAX(ABS($R$13:$R$113))</f>
        <v>-0.17581073222637397</v>
      </c>
    </row>
    <row r="58" spans="4:20" x14ac:dyDescent="0.35">
      <c r="D58">
        <v>0.999977</v>
      </c>
      <c r="E58">
        <v>-2.2020200000000001</v>
      </c>
      <c r="F58">
        <f t="shared" si="0"/>
        <v>2.2020200000000001</v>
      </c>
      <c r="H58">
        <v>448.68299999999999</v>
      </c>
      <c r="I58">
        <v>0.37707200000000002</v>
      </c>
      <c r="J58">
        <f t="shared" si="1"/>
        <v>0.448683</v>
      </c>
      <c r="K58" s="1" cm="1">
        <f t="array" ref="K58">I58/MAX(ABS($I$13:$I$113))</f>
        <v>0.15115953706710283</v>
      </c>
      <c r="M58">
        <v>1.01352</v>
      </c>
      <c r="N58">
        <v>-2.49193</v>
      </c>
      <c r="O58">
        <f t="shared" si="2"/>
        <v>2.49193</v>
      </c>
      <c r="Q58">
        <v>449.72</v>
      </c>
      <c r="R58">
        <v>8.9171399999999998E-2</v>
      </c>
      <c r="S58">
        <f t="shared" si="3"/>
        <v>0.44972000000000001</v>
      </c>
      <c r="T58" s="1" cm="1">
        <f t="array" ref="T58">R58/MAX(ABS($R$13:$R$113))</f>
        <v>2.7582650763406002E-2</v>
      </c>
    </row>
    <row r="59" spans="4:20" x14ac:dyDescent="0.35">
      <c r="D59">
        <v>0.99998900000000002</v>
      </c>
      <c r="E59">
        <v>-2.2020400000000002</v>
      </c>
      <c r="F59">
        <f t="shared" si="0"/>
        <v>2.2020400000000002</v>
      </c>
      <c r="H59">
        <v>458.67099999999999</v>
      </c>
      <c r="I59">
        <v>0.37572100000000003</v>
      </c>
      <c r="J59">
        <f t="shared" si="1"/>
        <v>0.458671</v>
      </c>
      <c r="K59" s="1" cm="1">
        <f t="array" ref="K59">I59/MAX(ABS($I$13:$I$113))</f>
        <v>0.15061795207914919</v>
      </c>
      <c r="M59">
        <v>1.01352</v>
      </c>
      <c r="N59">
        <v>-2.49193</v>
      </c>
      <c r="O59">
        <f t="shared" si="2"/>
        <v>2.49193</v>
      </c>
      <c r="Q59">
        <v>459.71300000000002</v>
      </c>
      <c r="R59">
        <v>0.74276399999999998</v>
      </c>
      <c r="S59">
        <f t="shared" si="3"/>
        <v>0.45971300000000004</v>
      </c>
      <c r="T59" s="1" cm="1">
        <f t="array" ref="T59">R59/MAX(ABS($R$13:$R$113))</f>
        <v>0.22975303753928383</v>
      </c>
    </row>
    <row r="60" spans="4:20" x14ac:dyDescent="0.35">
      <c r="D60">
        <v>0.99998900000000002</v>
      </c>
      <c r="E60">
        <v>-2.2020400000000002</v>
      </c>
      <c r="F60">
        <f t="shared" si="0"/>
        <v>2.2020400000000002</v>
      </c>
      <c r="H60">
        <v>468.65800000000002</v>
      </c>
      <c r="I60">
        <v>0.375114</v>
      </c>
      <c r="J60">
        <f t="shared" si="1"/>
        <v>0.46865800000000002</v>
      </c>
      <c r="K60" s="1" cm="1">
        <f t="array" ref="K60">I60/MAX(ABS($I$13:$I$113))</f>
        <v>0.15037461966783322</v>
      </c>
      <c r="M60">
        <v>1.01352</v>
      </c>
      <c r="N60">
        <v>-2.49193</v>
      </c>
      <c r="O60">
        <f t="shared" si="2"/>
        <v>2.49193</v>
      </c>
      <c r="Q60">
        <v>469.70400000000001</v>
      </c>
      <c r="R60">
        <v>1.1990499999999999</v>
      </c>
      <c r="S60">
        <f t="shared" si="3"/>
        <v>0.46970400000000001</v>
      </c>
      <c r="T60" s="1" cm="1">
        <f t="array" ref="T60">R60/MAX(ABS($R$13:$R$113))</f>
        <v>0.3708922075672465</v>
      </c>
    </row>
    <row r="61" spans="4:20" x14ac:dyDescent="0.35">
      <c r="D61">
        <v>0.99999000000000005</v>
      </c>
      <c r="E61">
        <v>-2.2020400000000002</v>
      </c>
      <c r="F61">
        <f t="shared" si="0"/>
        <v>2.2020400000000002</v>
      </c>
      <c r="H61">
        <v>478.64499999999998</v>
      </c>
      <c r="I61">
        <v>0.37489699999999998</v>
      </c>
      <c r="J61">
        <f t="shared" si="1"/>
        <v>0.47864499999999999</v>
      </c>
      <c r="K61" s="1" cm="1">
        <f t="array" ref="K61">I61/MAX(ABS($I$13:$I$113))</f>
        <v>0.15028762933298054</v>
      </c>
      <c r="M61">
        <v>1.01352</v>
      </c>
      <c r="N61">
        <v>-2.49193</v>
      </c>
      <c r="O61">
        <f t="shared" si="2"/>
        <v>2.49193</v>
      </c>
      <c r="Q61">
        <v>479.69499999999999</v>
      </c>
      <c r="R61">
        <v>1.33236</v>
      </c>
      <c r="S61">
        <f t="shared" si="3"/>
        <v>0.47969499999999998</v>
      </c>
      <c r="T61" s="1" cm="1">
        <f t="array" ref="T61">R61/MAX(ABS($R$13:$R$113))</f>
        <v>0.41212788597164135</v>
      </c>
    </row>
    <row r="62" spans="4:20" x14ac:dyDescent="0.35">
      <c r="D62">
        <v>0.99999099999999996</v>
      </c>
      <c r="E62">
        <v>-2.2020400000000002</v>
      </c>
      <c r="F62">
        <f t="shared" si="0"/>
        <v>2.2020400000000002</v>
      </c>
      <c r="H62">
        <v>488.63299999999998</v>
      </c>
      <c r="I62">
        <v>0.374859</v>
      </c>
      <c r="J62">
        <f t="shared" si="1"/>
        <v>0.48863299999999998</v>
      </c>
      <c r="K62" s="1" cm="1">
        <f t="array" ref="K62">I62/MAX(ABS($I$13:$I$113))</f>
        <v>0.15027239600245335</v>
      </c>
      <c r="M62">
        <v>1.01352</v>
      </c>
      <c r="N62">
        <v>-2.49193</v>
      </c>
      <c r="O62">
        <f t="shared" si="2"/>
        <v>2.49193</v>
      </c>
      <c r="Q62">
        <v>489.68599999999998</v>
      </c>
      <c r="R62">
        <v>1.11917</v>
      </c>
      <c r="S62">
        <f t="shared" si="3"/>
        <v>0.48968599999999995</v>
      </c>
      <c r="T62" s="1" cm="1">
        <f t="array" ref="T62">R62/MAX(ABS($R$13:$R$113))</f>
        <v>0.346183588626859</v>
      </c>
    </row>
    <row r="63" spans="4:20" x14ac:dyDescent="0.35">
      <c r="D63">
        <v>0.99998900000000002</v>
      </c>
      <c r="E63">
        <v>-2.2020400000000002</v>
      </c>
      <c r="F63">
        <f t="shared" si="0"/>
        <v>2.2020400000000002</v>
      </c>
      <c r="H63">
        <v>498.62099999999998</v>
      </c>
      <c r="I63">
        <v>0.374884</v>
      </c>
      <c r="J63">
        <f t="shared" si="1"/>
        <v>0.49862099999999998</v>
      </c>
      <c r="K63" s="1" cm="1">
        <f t="array" ref="K63">I63/MAX(ABS($I$13:$I$113))</f>
        <v>0.15028241793043176</v>
      </c>
      <c r="M63">
        <v>1.01352</v>
      </c>
      <c r="N63">
        <v>-2.49193</v>
      </c>
      <c r="O63">
        <f t="shared" si="2"/>
        <v>2.49193</v>
      </c>
      <c r="Q63">
        <v>499.678</v>
      </c>
      <c r="R63">
        <v>0.64013399999999998</v>
      </c>
      <c r="S63">
        <f t="shared" si="3"/>
        <v>0.49967800000000001</v>
      </c>
      <c r="T63" s="1" cm="1">
        <f t="array" ref="T63">R63/MAX(ABS($R$13:$R$113))</f>
        <v>0.19800734948405135</v>
      </c>
    </row>
    <row r="64" spans="4:20" x14ac:dyDescent="0.35">
      <c r="D64">
        <v>0.99999099999999996</v>
      </c>
      <c r="E64">
        <v>-2.2020499999999998</v>
      </c>
      <c r="F64">
        <f t="shared" si="0"/>
        <v>2.2020499999999998</v>
      </c>
      <c r="H64">
        <v>508.608</v>
      </c>
      <c r="I64">
        <v>0.37492199999999998</v>
      </c>
      <c r="J64">
        <f t="shared" si="1"/>
        <v>0.50860799999999995</v>
      </c>
      <c r="K64" s="1" cm="1">
        <f t="array" ref="K64">I64/MAX(ABS($I$13:$I$113))</f>
        <v>0.15029765126095895</v>
      </c>
      <c r="M64">
        <v>1.01352</v>
      </c>
      <c r="N64">
        <v>-2.49193</v>
      </c>
      <c r="O64">
        <f t="shared" si="2"/>
        <v>2.49193</v>
      </c>
      <c r="Q64">
        <v>509.67099999999999</v>
      </c>
      <c r="R64">
        <v>5.0520799999999998E-2</v>
      </c>
      <c r="S64">
        <f t="shared" si="3"/>
        <v>0.50967099999999999</v>
      </c>
      <c r="T64" s="1" cm="1">
        <f t="array" ref="T64">R64/MAX(ABS($R$13:$R$113))</f>
        <v>1.5627180718121303E-2</v>
      </c>
    </row>
    <row r="65" spans="4:20" x14ac:dyDescent="0.35">
      <c r="D65">
        <v>0.99999400000000005</v>
      </c>
      <c r="E65">
        <v>-2.2020499999999998</v>
      </c>
      <c r="F65">
        <f t="shared" si="0"/>
        <v>2.2020499999999998</v>
      </c>
      <c r="H65">
        <v>518.596</v>
      </c>
      <c r="I65">
        <v>0.37495800000000001</v>
      </c>
      <c r="J65">
        <f t="shared" si="1"/>
        <v>0.51859600000000006</v>
      </c>
      <c r="K65" s="1" cm="1">
        <f t="array" ref="K65">I65/MAX(ABS($I$13:$I$113))</f>
        <v>0.1503120828372479</v>
      </c>
      <c r="M65">
        <v>1.01352</v>
      </c>
      <c r="N65">
        <v>-2.49193</v>
      </c>
      <c r="O65">
        <f t="shared" si="2"/>
        <v>2.49193</v>
      </c>
      <c r="Q65">
        <v>519.66700000000003</v>
      </c>
      <c r="R65">
        <v>-0.46982299999999999</v>
      </c>
      <c r="S65">
        <f t="shared" si="3"/>
        <v>0.51966699999999999</v>
      </c>
      <c r="T65" s="1" cm="1">
        <f t="array" ref="T65">R65/MAX(ABS($R$13:$R$113))</f>
        <v>-0.14532645814258494</v>
      </c>
    </row>
    <row r="66" spans="4:20" x14ac:dyDescent="0.35">
      <c r="D66">
        <v>0.99999700000000002</v>
      </c>
      <c r="E66">
        <v>-2.2020599999999999</v>
      </c>
      <c r="F66">
        <f t="shared" si="0"/>
        <v>2.2020599999999999</v>
      </c>
      <c r="H66">
        <v>528.58299999999997</v>
      </c>
      <c r="I66">
        <v>0.37498399999999998</v>
      </c>
      <c r="J66">
        <f t="shared" si="1"/>
        <v>0.52858300000000003</v>
      </c>
      <c r="K66" s="1" cm="1">
        <f t="array" ref="K66">I66/MAX(ABS($I$13:$I$113))</f>
        <v>0.15032250564234545</v>
      </c>
      <c r="M66">
        <v>1.01352</v>
      </c>
      <c r="N66">
        <v>-2.49193</v>
      </c>
      <c r="O66">
        <f t="shared" si="2"/>
        <v>2.49193</v>
      </c>
      <c r="Q66">
        <v>529.66300000000001</v>
      </c>
      <c r="R66">
        <v>-0.77076500000000003</v>
      </c>
      <c r="S66">
        <f t="shared" si="3"/>
        <v>0.52966299999999999</v>
      </c>
      <c r="T66" s="1" cm="1">
        <f t="array" ref="T66">R66/MAX(ABS($R$13:$R$113))</f>
        <v>-0.23841435500235084</v>
      </c>
    </row>
    <row r="67" spans="4:20" x14ac:dyDescent="0.35">
      <c r="D67">
        <v>0.99999800000000005</v>
      </c>
      <c r="E67">
        <v>-2.2020599999999999</v>
      </c>
      <c r="F67">
        <f t="shared" si="0"/>
        <v>2.2020599999999999</v>
      </c>
      <c r="H67">
        <v>538.57000000000005</v>
      </c>
      <c r="I67">
        <v>0.37499900000000003</v>
      </c>
      <c r="J67">
        <f t="shared" si="1"/>
        <v>0.5385700000000001</v>
      </c>
      <c r="K67" s="1" cm="1">
        <f t="array" ref="K67">I67/MAX(ABS($I$13:$I$113))</f>
        <v>0.1503285187991325</v>
      </c>
      <c r="M67">
        <v>1.01352</v>
      </c>
      <c r="N67">
        <v>-2.49193</v>
      </c>
      <c r="O67">
        <f t="shared" si="2"/>
        <v>2.49193</v>
      </c>
      <c r="Q67">
        <v>539.66</v>
      </c>
      <c r="R67">
        <v>-0.77475700000000003</v>
      </c>
      <c r="S67">
        <f t="shared" si="3"/>
        <v>0.53965999999999992</v>
      </c>
      <c r="T67" s="1" cm="1">
        <f t="array" ref="T67">R67/MAX(ABS($R$13:$R$113))</f>
        <v>-0.23964916730593155</v>
      </c>
    </row>
    <row r="68" spans="4:20" x14ac:dyDescent="0.35">
      <c r="D68">
        <v>0.99999800000000005</v>
      </c>
      <c r="E68">
        <v>-2.2020599999999999</v>
      </c>
      <c r="F68">
        <f t="shared" si="0"/>
        <v>2.2020599999999999</v>
      </c>
      <c r="H68">
        <v>548.55799999999999</v>
      </c>
      <c r="I68">
        <v>0.37500099999999997</v>
      </c>
      <c r="J68">
        <f t="shared" si="1"/>
        <v>0.54855799999999999</v>
      </c>
      <c r="K68" s="1" cm="1">
        <f t="array" ref="K68">I68/MAX(ABS($I$13:$I$113))</f>
        <v>0.15032932055337075</v>
      </c>
      <c r="M68">
        <v>1.01352</v>
      </c>
      <c r="N68">
        <v>-2.49193</v>
      </c>
      <c r="O68">
        <f t="shared" si="2"/>
        <v>2.49193</v>
      </c>
      <c r="Q68">
        <v>549.65599999999995</v>
      </c>
      <c r="R68">
        <v>-0.49620500000000001</v>
      </c>
      <c r="S68">
        <f t="shared" si="3"/>
        <v>0.54965599999999992</v>
      </c>
      <c r="T68" s="1" cm="1">
        <f t="array" ref="T68">R68/MAX(ABS($R$13:$R$113))</f>
        <v>-0.15348698374205041</v>
      </c>
    </row>
    <row r="69" spans="4:20" x14ac:dyDescent="0.35">
      <c r="D69">
        <v>0.99999800000000005</v>
      </c>
      <c r="E69">
        <v>-2.2020599999999999</v>
      </c>
      <c r="F69">
        <f t="shared" si="0"/>
        <v>2.2020599999999999</v>
      </c>
      <c r="H69">
        <v>558.54499999999996</v>
      </c>
      <c r="I69">
        <v>0.37499199999999999</v>
      </c>
      <c r="J69">
        <f t="shared" si="1"/>
        <v>0.55854499999999996</v>
      </c>
      <c r="K69" s="1" cm="1">
        <f t="array" ref="K69">I69/MAX(ABS($I$13:$I$113))</f>
        <v>0.15032571265929853</v>
      </c>
      <c r="M69">
        <v>1.01352</v>
      </c>
      <c r="N69">
        <v>-2.49193</v>
      </c>
      <c r="O69">
        <f t="shared" si="2"/>
        <v>2.49193</v>
      </c>
      <c r="Q69">
        <v>559.65099999999995</v>
      </c>
      <c r="R69">
        <v>-3.2280299999999998E-2</v>
      </c>
      <c r="S69">
        <f t="shared" si="3"/>
        <v>0.5596509999999999</v>
      </c>
      <c r="T69" s="1" cm="1">
        <f t="array" ref="T69">R69/MAX(ABS($R$13:$R$113))</f>
        <v>-9.9849978966123076E-3</v>
      </c>
    </row>
    <row r="70" spans="4:20" x14ac:dyDescent="0.35">
      <c r="D70">
        <v>0.99999800000000005</v>
      </c>
      <c r="E70">
        <v>-2.2020599999999999</v>
      </c>
      <c r="F70">
        <f t="shared" si="0"/>
        <v>2.2020599999999999</v>
      </c>
      <c r="H70">
        <v>568.53300000000002</v>
      </c>
      <c r="I70">
        <v>0.37497200000000003</v>
      </c>
      <c r="J70">
        <f t="shared" si="1"/>
        <v>0.56853300000000007</v>
      </c>
      <c r="K70" s="1" cm="1">
        <f t="array" ref="K70">I70/MAX(ABS($I$13:$I$113))</f>
        <v>0.15031769511691581</v>
      </c>
      <c r="M70">
        <v>1.01352</v>
      </c>
      <c r="N70">
        <v>-2.49193</v>
      </c>
      <c r="O70">
        <f t="shared" si="2"/>
        <v>2.49193</v>
      </c>
      <c r="Q70">
        <v>569.64499999999998</v>
      </c>
      <c r="R70">
        <v>0.47042200000000001</v>
      </c>
      <c r="S70">
        <f t="shared" si="3"/>
        <v>0.56964499999999996</v>
      </c>
      <c r="T70" s="1" cm="1">
        <f t="array" ref="T70">R70/MAX(ABS($R$13:$R$113))</f>
        <v>0.1455117418524659</v>
      </c>
    </row>
    <row r="71" spans="4:20" x14ac:dyDescent="0.35">
      <c r="D71">
        <v>0.99999899999999997</v>
      </c>
      <c r="E71">
        <v>-2.2020599999999999</v>
      </c>
      <c r="F71">
        <f t="shared" si="0"/>
        <v>2.2020599999999999</v>
      </c>
      <c r="H71">
        <v>578.52099999999996</v>
      </c>
      <c r="I71">
        <v>0.374944</v>
      </c>
      <c r="J71">
        <f t="shared" si="1"/>
        <v>0.57852099999999995</v>
      </c>
      <c r="K71" s="1" cm="1">
        <f t="array" ref="K71">I71/MAX(ABS($I$13:$I$113))</f>
        <v>0.15030647055757998</v>
      </c>
      <c r="M71">
        <v>1.01352</v>
      </c>
      <c r="N71">
        <v>-2.49193</v>
      </c>
      <c r="O71">
        <f t="shared" si="2"/>
        <v>2.49193</v>
      </c>
      <c r="Q71">
        <v>579.63800000000003</v>
      </c>
      <c r="R71">
        <v>0.86177000000000004</v>
      </c>
      <c r="S71">
        <f t="shared" si="3"/>
        <v>0.57963799999999999</v>
      </c>
      <c r="T71" s="1" cm="1">
        <f t="array" ref="T71">R71/MAX(ABS($R$13:$R$113))</f>
        <v>0.2665641780703274</v>
      </c>
    </row>
    <row r="72" spans="4:20" x14ac:dyDescent="0.35">
      <c r="D72">
        <v>0.99999899999999997</v>
      </c>
      <c r="E72">
        <v>-2.2020599999999999</v>
      </c>
      <c r="F72">
        <f t="shared" si="0"/>
        <v>2.2020599999999999</v>
      </c>
      <c r="H72">
        <v>588.50800000000004</v>
      </c>
      <c r="I72">
        <v>0.37491400000000003</v>
      </c>
      <c r="J72">
        <f t="shared" si="1"/>
        <v>0.58850800000000003</v>
      </c>
      <c r="K72" s="1" cm="1">
        <f t="array" ref="K72">I72/MAX(ABS($I$13:$I$113))</f>
        <v>0.1502944442440059</v>
      </c>
      <c r="M72">
        <v>1.01352</v>
      </c>
      <c r="N72">
        <v>-2.49193</v>
      </c>
      <c r="O72">
        <f t="shared" si="2"/>
        <v>2.49193</v>
      </c>
      <c r="Q72">
        <v>589.62900000000002</v>
      </c>
      <c r="R72">
        <v>1.0324800000000001</v>
      </c>
      <c r="S72">
        <f t="shared" si="3"/>
        <v>0.58962900000000007</v>
      </c>
      <c r="T72" s="1" cm="1">
        <f t="array" ref="T72">R72/MAX(ABS($R$13:$R$113))</f>
        <v>0.31936848877780805</v>
      </c>
    </row>
    <row r="73" spans="4:20" x14ac:dyDescent="0.35">
      <c r="D73">
        <v>0.99999899999999997</v>
      </c>
      <c r="E73">
        <v>-2.2020599999999999</v>
      </c>
      <c r="F73">
        <f t="shared" si="0"/>
        <v>2.2020599999999999</v>
      </c>
      <c r="H73">
        <v>598.495</v>
      </c>
      <c r="I73">
        <v>0.37489299999999998</v>
      </c>
      <c r="J73">
        <f t="shared" si="1"/>
        <v>0.598495</v>
      </c>
      <c r="K73" s="1" cm="1">
        <f t="array" ref="K73">I73/MAX(ABS($I$13:$I$113))</f>
        <v>0.15028602582450401</v>
      </c>
      <c r="M73">
        <v>1.01352</v>
      </c>
      <c r="N73">
        <v>-2.49193</v>
      </c>
      <c r="O73">
        <f t="shared" si="2"/>
        <v>2.49193</v>
      </c>
      <c r="Q73">
        <v>599.62099999999998</v>
      </c>
      <c r="R73">
        <v>0.94429700000000005</v>
      </c>
      <c r="S73">
        <f t="shared" si="3"/>
        <v>0.59962099999999996</v>
      </c>
      <c r="T73" s="1" cm="1">
        <f t="array" ref="T73">R73/MAX(ABS($R$13:$R$113))</f>
        <v>0.29209157160179161</v>
      </c>
    </row>
    <row r="74" spans="4:20" x14ac:dyDescent="0.35">
      <c r="D74">
        <v>0.99999899999999997</v>
      </c>
      <c r="E74">
        <v>-2.2020599999999999</v>
      </c>
      <c r="F74">
        <f t="shared" si="0"/>
        <v>2.2020599999999999</v>
      </c>
      <c r="H74">
        <v>608.48299999999995</v>
      </c>
      <c r="I74">
        <v>0.37490699999999999</v>
      </c>
      <c r="J74">
        <f t="shared" si="1"/>
        <v>0.608483</v>
      </c>
      <c r="K74" s="1" cm="1">
        <f t="array" ref="K74">I74/MAX(ABS($I$13:$I$113))</f>
        <v>0.15029163810417193</v>
      </c>
      <c r="M74">
        <v>1.01352</v>
      </c>
      <c r="N74">
        <v>-2.49193</v>
      </c>
      <c r="O74">
        <f t="shared" si="2"/>
        <v>2.49193</v>
      </c>
      <c r="Q74">
        <v>609.61300000000006</v>
      </c>
      <c r="R74">
        <v>0.63752600000000004</v>
      </c>
      <c r="S74">
        <f t="shared" si="3"/>
        <v>0.60961300000000007</v>
      </c>
      <c r="T74" s="1" cm="1">
        <f t="array" ref="T74">R74/MAX(ABS($R$13:$R$113))</f>
        <v>0.19720063844002869</v>
      </c>
    </row>
    <row r="75" spans="4:20" x14ac:dyDescent="0.35">
      <c r="D75">
        <v>0.99999899999999997</v>
      </c>
      <c r="E75">
        <v>-2.2020599999999999</v>
      </c>
      <c r="F75">
        <f t="shared" si="0"/>
        <v>2.2020599999999999</v>
      </c>
      <c r="H75">
        <v>618.471</v>
      </c>
      <c r="I75">
        <v>0.37501099999999998</v>
      </c>
      <c r="J75">
        <f t="shared" si="1"/>
        <v>0.61847099999999999</v>
      </c>
      <c r="K75" s="1" cm="1">
        <f t="array" ref="K75">I75/MAX(ABS($I$13:$I$113))</f>
        <v>0.15033332932456211</v>
      </c>
      <c r="M75">
        <v>1.01352</v>
      </c>
      <c r="N75">
        <v>-2.49193</v>
      </c>
      <c r="O75">
        <f t="shared" si="2"/>
        <v>2.49193</v>
      </c>
      <c r="Q75">
        <v>619.60599999999999</v>
      </c>
      <c r="R75">
        <v>0.21459400000000001</v>
      </c>
      <c r="S75">
        <f t="shared" si="3"/>
        <v>0.61960599999999999</v>
      </c>
      <c r="T75" s="1" cm="1">
        <f t="array" ref="T75">R75/MAX(ABS($R$13:$R$113))</f>
        <v>6.6378585038727081E-2</v>
      </c>
    </row>
    <row r="76" spans="4:20" x14ac:dyDescent="0.35">
      <c r="D76">
        <v>0.99999899999999997</v>
      </c>
      <c r="E76">
        <v>-2.2020599999999999</v>
      </c>
      <c r="F76">
        <f t="shared" si="0"/>
        <v>2.2020599999999999</v>
      </c>
      <c r="H76">
        <v>628.45799999999997</v>
      </c>
      <c r="I76">
        <v>0.375334</v>
      </c>
      <c r="J76">
        <f t="shared" si="1"/>
        <v>0.62845799999999996</v>
      </c>
      <c r="K76" s="1" cm="1">
        <f t="array" ref="K76">I76/MAX(ABS($I$13:$I$113))</f>
        <v>0.15046281263404329</v>
      </c>
      <c r="M76">
        <v>1.01352</v>
      </c>
      <c r="N76">
        <v>-2.49193</v>
      </c>
      <c r="O76">
        <f t="shared" si="2"/>
        <v>2.49193</v>
      </c>
      <c r="Q76">
        <v>629.601</v>
      </c>
      <c r="R76">
        <v>-0.193832</v>
      </c>
      <c r="S76">
        <f t="shared" si="3"/>
        <v>0.62960099999999997</v>
      </c>
      <c r="T76" s="1" cm="1">
        <f t="array" ref="T76">R76/MAX(ABS($R$13:$R$113))</f>
        <v>-5.9956447501917795E-2</v>
      </c>
    </row>
    <row r="77" spans="4:20" x14ac:dyDescent="0.35">
      <c r="D77">
        <v>0.99999899999999997</v>
      </c>
      <c r="E77">
        <v>-2.2020599999999999</v>
      </c>
      <c r="F77">
        <f t="shared" si="0"/>
        <v>2.2020599999999999</v>
      </c>
      <c r="H77">
        <v>638.44500000000005</v>
      </c>
      <c r="I77">
        <v>0.37611800000000001</v>
      </c>
      <c r="J77">
        <f t="shared" si="1"/>
        <v>0.63844500000000004</v>
      </c>
      <c r="K77" s="1" cm="1">
        <f t="array" ref="K77">I77/MAX(ABS($I$13:$I$113))</f>
        <v>0.15077710029544644</v>
      </c>
      <c r="M77">
        <v>1.01352</v>
      </c>
      <c r="N77">
        <v>-2.49193</v>
      </c>
      <c r="O77">
        <f t="shared" si="2"/>
        <v>2.49193</v>
      </c>
      <c r="Q77">
        <v>639.596</v>
      </c>
      <c r="R77">
        <v>-0.46890500000000002</v>
      </c>
      <c r="S77">
        <f t="shared" si="3"/>
        <v>0.63959600000000005</v>
      </c>
      <c r="T77" s="1" cm="1">
        <f t="array" ref="T77">R77/MAX(ABS($R$13:$R$113))</f>
        <v>-0.14504250080423647</v>
      </c>
    </row>
    <row r="78" spans="4:20" x14ac:dyDescent="0.35">
      <c r="D78">
        <v>0.99999899999999997</v>
      </c>
      <c r="E78">
        <v>-2.2020599999999999</v>
      </c>
      <c r="F78">
        <f t="shared" ref="F78:F88" si="4">-E78</f>
        <v>2.2020599999999999</v>
      </c>
      <c r="H78">
        <v>648.43299999999999</v>
      </c>
      <c r="I78">
        <v>0.37771500000000002</v>
      </c>
      <c r="J78">
        <f t="shared" ref="J78:J113" si="5">H78/1000</f>
        <v>0.64843300000000004</v>
      </c>
      <c r="K78" s="1" cm="1">
        <f t="array" ref="K78">I78/MAX(ABS($I$13:$I$113))</f>
        <v>0.15141730105470771</v>
      </c>
      <c r="M78">
        <v>1.01352</v>
      </c>
      <c r="N78">
        <v>-2.49193</v>
      </c>
      <c r="O78">
        <f t="shared" ref="O78:O113" si="6">-N78</f>
        <v>2.49193</v>
      </c>
      <c r="Q78">
        <v>649.59199999999998</v>
      </c>
      <c r="R78">
        <v>-0.53783099999999995</v>
      </c>
      <c r="S78">
        <f t="shared" ref="S78:S113" si="7">Q78/1000</f>
        <v>0.64959199999999995</v>
      </c>
      <c r="T78" s="1" cm="1">
        <f t="array" ref="T78">R78/MAX(ABS($R$13:$R$113))</f>
        <v>-0.16636280963104103</v>
      </c>
    </row>
    <row r="79" spans="4:20" x14ac:dyDescent="0.35">
      <c r="D79">
        <v>0.99999899999999997</v>
      </c>
      <c r="E79">
        <v>-2.2020599999999999</v>
      </c>
      <c r="F79">
        <f t="shared" si="4"/>
        <v>2.2020599999999999</v>
      </c>
      <c r="H79">
        <v>658.42</v>
      </c>
      <c r="I79">
        <v>0.380554</v>
      </c>
      <c r="J79">
        <f t="shared" si="5"/>
        <v>0.65842000000000001</v>
      </c>
      <c r="K79" s="1" cm="1">
        <f t="array" ref="K79">I79/MAX(ABS($I$13:$I$113))</f>
        <v>0.1525553911959367</v>
      </c>
      <c r="M79">
        <v>1.01352</v>
      </c>
      <c r="N79">
        <v>-2.49193</v>
      </c>
      <c r="O79">
        <f t="shared" si="6"/>
        <v>2.49193</v>
      </c>
      <c r="Q79">
        <v>659.58799999999997</v>
      </c>
      <c r="R79">
        <v>-0.392621</v>
      </c>
      <c r="S79">
        <f t="shared" si="7"/>
        <v>0.65958799999999995</v>
      </c>
      <c r="T79" s="1" cm="1">
        <f t="array" ref="T79">R79/MAX(ABS($R$13:$R$113))</f>
        <v>-0.12144620276657345</v>
      </c>
    </row>
    <row r="80" spans="4:20" x14ac:dyDescent="0.35">
      <c r="D80">
        <v>0.99999899999999997</v>
      </c>
      <c r="E80">
        <v>-2.2020599999999999</v>
      </c>
      <c r="F80">
        <f t="shared" si="4"/>
        <v>2.2020599999999999</v>
      </c>
      <c r="H80">
        <v>668.40800000000002</v>
      </c>
      <c r="I80">
        <v>0.38501600000000002</v>
      </c>
      <c r="J80">
        <f t="shared" si="5"/>
        <v>0.668408</v>
      </c>
      <c r="K80" s="1" cm="1">
        <f t="array" ref="K80">I80/MAX(ABS($I$13:$I$113))</f>
        <v>0.15434410490152453</v>
      </c>
      <c r="M80">
        <v>1.01352</v>
      </c>
      <c r="N80">
        <v>-2.49193</v>
      </c>
      <c r="O80">
        <f t="shared" si="6"/>
        <v>2.49193</v>
      </c>
      <c r="Q80">
        <v>669.58399999999995</v>
      </c>
      <c r="R80">
        <v>-8.8543300000000005E-2</v>
      </c>
      <c r="S80">
        <f t="shared" si="7"/>
        <v>0.66958399999999996</v>
      </c>
      <c r="T80" s="1" cm="1">
        <f t="array" ref="T80">R80/MAX(ABS($R$13:$R$113))</f>
        <v>-2.7388365791492415E-2</v>
      </c>
    </row>
    <row r="81" spans="4:20" x14ac:dyDescent="0.35">
      <c r="D81">
        <v>0.99999899999999997</v>
      </c>
      <c r="E81">
        <v>-2.2020599999999999</v>
      </c>
      <c r="F81">
        <f t="shared" si="4"/>
        <v>2.2020599999999999</v>
      </c>
      <c r="H81">
        <v>678.39499999999998</v>
      </c>
      <c r="I81">
        <v>0.39135199999999998</v>
      </c>
      <c r="J81">
        <f t="shared" si="5"/>
        <v>0.67839499999999997</v>
      </c>
      <c r="K81" s="1" cm="1">
        <f t="array" ref="K81">I81/MAX(ABS($I$13:$I$113))</f>
        <v>0.15688406232837446</v>
      </c>
      <c r="M81">
        <v>1.01352</v>
      </c>
      <c r="N81">
        <v>-2.49193</v>
      </c>
      <c r="O81">
        <f t="shared" si="6"/>
        <v>2.49193</v>
      </c>
      <c r="Q81">
        <v>679.57799999999997</v>
      </c>
      <c r="R81">
        <v>0.276034</v>
      </c>
      <c r="S81">
        <f t="shared" si="7"/>
        <v>0.67957800000000002</v>
      </c>
      <c r="T81" s="1" cm="1">
        <f t="array" ref="T81">R81/MAX(ABS($R$13:$R$113))</f>
        <v>8.5383311474598489E-2</v>
      </c>
    </row>
    <row r="82" spans="4:20" x14ac:dyDescent="0.35">
      <c r="D82">
        <v>0.99999899999999997</v>
      </c>
      <c r="E82">
        <v>-2.2020599999999999</v>
      </c>
      <c r="F82">
        <f t="shared" si="4"/>
        <v>2.2020599999999999</v>
      </c>
      <c r="H82">
        <v>688.38199999999995</v>
      </c>
      <c r="I82">
        <v>0.39974599999999999</v>
      </c>
      <c r="J82">
        <f t="shared" si="5"/>
        <v>0.68838199999999994</v>
      </c>
      <c r="K82" s="1" cm="1">
        <f t="array" ref="K82">I82/MAX(ABS($I$13:$I$113))</f>
        <v>0.16024902486640769</v>
      </c>
      <c r="M82">
        <v>1.01352</v>
      </c>
      <c r="N82">
        <v>-2.49193</v>
      </c>
      <c r="O82">
        <f t="shared" si="6"/>
        <v>2.49193</v>
      </c>
      <c r="Q82">
        <v>689.57100000000003</v>
      </c>
      <c r="R82">
        <v>0.59116299999999999</v>
      </c>
      <c r="S82">
        <f t="shared" si="7"/>
        <v>0.68957100000000005</v>
      </c>
      <c r="T82" s="1" cm="1">
        <f t="array" ref="T82">R82/MAX(ABS($R$13:$R$113))</f>
        <v>0.18285955556655364</v>
      </c>
    </row>
    <row r="83" spans="4:20" x14ac:dyDescent="0.35">
      <c r="D83">
        <v>0.99999899999999997</v>
      </c>
      <c r="E83">
        <v>-2.2020599999999999</v>
      </c>
      <c r="F83">
        <f t="shared" si="4"/>
        <v>2.2020599999999999</v>
      </c>
      <c r="H83">
        <v>698.36900000000003</v>
      </c>
      <c r="I83">
        <v>0.41033399999999998</v>
      </c>
      <c r="J83">
        <f t="shared" si="5"/>
        <v>0.69836900000000002</v>
      </c>
      <c r="K83" s="1" cm="1">
        <f t="array" ref="K83">I83/MAX(ABS($I$13:$I$113))</f>
        <v>0.16449351180382676</v>
      </c>
      <c r="M83">
        <v>1.01352</v>
      </c>
      <c r="N83">
        <v>-2.49193</v>
      </c>
      <c r="O83">
        <f t="shared" si="6"/>
        <v>2.49193</v>
      </c>
      <c r="Q83">
        <v>699.56399999999996</v>
      </c>
      <c r="R83">
        <v>0.76818299999999995</v>
      </c>
      <c r="S83">
        <f t="shared" si="7"/>
        <v>0.69956399999999996</v>
      </c>
      <c r="T83" s="1" cm="1">
        <f t="array" ref="T83">R83/MAX(ABS($R$13:$R$113))</f>
        <v>0.23761568632303082</v>
      </c>
    </row>
    <row r="84" spans="4:20" x14ac:dyDescent="0.35">
      <c r="D84">
        <v>0.99999899999999997</v>
      </c>
      <c r="E84">
        <v>-2.2020599999999999</v>
      </c>
      <c r="F84">
        <f t="shared" si="4"/>
        <v>2.2020599999999999</v>
      </c>
      <c r="H84">
        <v>708.35599999999999</v>
      </c>
      <c r="I84">
        <v>0.42320600000000003</v>
      </c>
      <c r="J84">
        <f t="shared" si="5"/>
        <v>0.70835599999999999</v>
      </c>
      <c r="K84" s="1" cm="1">
        <f t="array" ref="K84">I84/MAX(ABS($I$13:$I$113))</f>
        <v>0.16965360208135399</v>
      </c>
      <c r="M84">
        <v>1.01352</v>
      </c>
      <c r="N84">
        <v>-2.49193</v>
      </c>
      <c r="O84">
        <f t="shared" si="6"/>
        <v>2.49193</v>
      </c>
      <c r="Q84">
        <v>709.55600000000004</v>
      </c>
      <c r="R84">
        <v>0.76434100000000005</v>
      </c>
      <c r="S84">
        <f t="shared" si="7"/>
        <v>0.70955600000000008</v>
      </c>
      <c r="T84" s="1" cm="1">
        <f t="array" ref="T84">R84/MAX(ABS($R$13:$R$113))</f>
        <v>0.23642727227735022</v>
      </c>
    </row>
    <row r="85" spans="4:20" x14ac:dyDescent="0.35">
      <c r="D85">
        <v>0.99999899999999997</v>
      </c>
      <c r="E85">
        <v>-2.2020599999999999</v>
      </c>
      <c r="F85">
        <f t="shared" si="4"/>
        <v>2.2020599999999999</v>
      </c>
      <c r="H85">
        <v>718.34199999999998</v>
      </c>
      <c r="I85">
        <v>0.43840899999999999</v>
      </c>
      <c r="J85">
        <f t="shared" si="5"/>
        <v>0.71834200000000004</v>
      </c>
      <c r="K85" s="1" cm="1">
        <f t="array" ref="K85">I85/MAX(ABS($I$13:$I$113))</f>
        <v>0.17574813692358879</v>
      </c>
      <c r="M85">
        <v>1.01352</v>
      </c>
      <c r="N85">
        <v>-2.49193</v>
      </c>
      <c r="O85">
        <f t="shared" si="6"/>
        <v>2.49193</v>
      </c>
      <c r="Q85">
        <v>719.548</v>
      </c>
      <c r="R85">
        <v>0.59238599999999997</v>
      </c>
      <c r="S85">
        <f t="shared" si="7"/>
        <v>0.71954799999999997</v>
      </c>
      <c r="T85" s="1" cm="1">
        <f t="array" ref="T85">R85/MAX(ABS($R$13:$R$113))</f>
        <v>0.18323785602929893</v>
      </c>
    </row>
    <row r="86" spans="4:20" x14ac:dyDescent="0.35">
      <c r="D86">
        <v>0.99999899999999997</v>
      </c>
      <c r="E86">
        <v>-2.2020599999999999</v>
      </c>
      <c r="F86">
        <f t="shared" si="4"/>
        <v>2.2020599999999999</v>
      </c>
      <c r="H86">
        <v>728.32799999999997</v>
      </c>
      <c r="I86">
        <v>0.45594299999999999</v>
      </c>
      <c r="J86">
        <f t="shared" si="5"/>
        <v>0.72832799999999998</v>
      </c>
      <c r="K86" s="1" cm="1">
        <f t="array" ref="K86">I86/MAX(ABS($I$13:$I$113))</f>
        <v>0.18277711633053118</v>
      </c>
      <c r="M86">
        <v>1.01352</v>
      </c>
      <c r="N86">
        <v>-2.49193</v>
      </c>
      <c r="O86">
        <f t="shared" si="6"/>
        <v>2.49193</v>
      </c>
      <c r="Q86">
        <v>729.54100000000005</v>
      </c>
      <c r="R86">
        <v>0.31315500000000002</v>
      </c>
      <c r="S86">
        <f t="shared" si="7"/>
        <v>0.72954100000000011</v>
      </c>
      <c r="T86" s="1" cm="1">
        <f t="array" ref="T86">R86/MAX(ABS($R$13:$R$113))</f>
        <v>9.6865643017990152E-2</v>
      </c>
    </row>
    <row r="87" spans="4:20" x14ac:dyDescent="0.35">
      <c r="D87">
        <v>0.99999899999999997</v>
      </c>
      <c r="E87">
        <v>-2.2020599999999999</v>
      </c>
      <c r="F87">
        <f t="shared" si="4"/>
        <v>2.2020599999999999</v>
      </c>
      <c r="H87">
        <v>738.31399999999996</v>
      </c>
      <c r="I87">
        <v>0.47576400000000002</v>
      </c>
      <c r="J87">
        <f t="shared" si="5"/>
        <v>0.73831399999999991</v>
      </c>
      <c r="K87" s="1" cm="1">
        <f t="array" ref="K87">I87/MAX(ABS($I$13:$I$113))</f>
        <v>0.19072290170893916</v>
      </c>
      <c r="M87">
        <v>1.01352</v>
      </c>
      <c r="N87">
        <v>-2.49193</v>
      </c>
      <c r="O87">
        <f t="shared" si="6"/>
        <v>2.49193</v>
      </c>
      <c r="Q87">
        <v>739.53499999999997</v>
      </c>
      <c r="R87">
        <v>1.45027E-2</v>
      </c>
      <c r="S87">
        <f t="shared" si="7"/>
        <v>0.73953499999999994</v>
      </c>
      <c r="T87" s="1" cm="1">
        <f t="array" ref="T87">R87/MAX(ABS($R$13:$R$113))</f>
        <v>4.4860000989829498E-3</v>
      </c>
    </row>
    <row r="88" spans="4:20" x14ac:dyDescent="0.35">
      <c r="D88">
        <v>0.99999899999999997</v>
      </c>
      <c r="E88">
        <v>-2.2020599999999999</v>
      </c>
      <c r="F88">
        <f t="shared" si="4"/>
        <v>2.2020599999999999</v>
      </c>
      <c r="H88">
        <v>748.29899999999998</v>
      </c>
      <c r="I88">
        <v>0.49778099999999997</v>
      </c>
      <c r="J88">
        <f t="shared" si="5"/>
        <v>0.74829899999999994</v>
      </c>
      <c r="K88" s="1" cm="1">
        <f t="array" ref="K88">I88/MAX(ABS($I$13:$I$113))</f>
        <v>0.19954901324097121</v>
      </c>
      <c r="M88">
        <v>1.01352</v>
      </c>
      <c r="N88">
        <v>-2.49193</v>
      </c>
      <c r="O88">
        <f t="shared" si="6"/>
        <v>2.49193</v>
      </c>
      <c r="Q88">
        <v>749.53</v>
      </c>
      <c r="R88">
        <v>-0.21615400000000001</v>
      </c>
      <c r="S88">
        <f t="shared" si="7"/>
        <v>0.74952999999999992</v>
      </c>
      <c r="T88" s="1" cm="1">
        <f t="array" ref="T88">R88/MAX(ABS($R$13:$R$113))</f>
        <v>-6.6861126920887873E-2</v>
      </c>
    </row>
    <row r="89" spans="4:20" x14ac:dyDescent="0.35">
      <c r="H89">
        <v>758.28399999999999</v>
      </c>
      <c r="I89">
        <v>0.52185000000000004</v>
      </c>
      <c r="J89">
        <f t="shared" si="5"/>
        <v>0.75828399999999996</v>
      </c>
      <c r="K89" s="1" cm="1">
        <f t="array" ref="K89">I89/MAX(ABS($I$13:$I$113))</f>
        <v>0.20919772462147179</v>
      </c>
      <c r="M89">
        <v>1.01352</v>
      </c>
      <c r="N89">
        <v>-2.49193</v>
      </c>
      <c r="O89">
        <f t="shared" si="6"/>
        <v>2.49193</v>
      </c>
      <c r="Q89">
        <v>759.52599999999995</v>
      </c>
      <c r="R89">
        <v>-0.31718800000000003</v>
      </c>
      <c r="S89">
        <f t="shared" si="7"/>
        <v>0.75952599999999992</v>
      </c>
      <c r="T89" s="1" cm="1">
        <f t="array" ref="T89">R89/MAX(ABS($R$13:$R$113))</f>
        <v>-9.8113137512063547E-2</v>
      </c>
    </row>
    <row r="90" spans="4:20" x14ac:dyDescent="0.35">
      <c r="H90">
        <v>768.26800000000003</v>
      </c>
      <c r="I90">
        <v>0.54777600000000004</v>
      </c>
      <c r="J90">
        <f t="shared" si="5"/>
        <v>0.76826800000000006</v>
      </c>
      <c r="K90" s="1" cm="1">
        <f t="array" ref="K90">I90/MAX(ABS($I$13:$I$113))</f>
        <v>0.21959086481220913</v>
      </c>
      <c r="M90">
        <v>1.01352</v>
      </c>
      <c r="N90">
        <v>-2.49193</v>
      </c>
      <c r="O90">
        <f t="shared" si="6"/>
        <v>2.49193</v>
      </c>
      <c r="Q90">
        <v>769.52099999999996</v>
      </c>
      <c r="R90">
        <v>-0.26879599999999998</v>
      </c>
      <c r="S90">
        <f t="shared" si="7"/>
        <v>0.76952100000000001</v>
      </c>
      <c r="T90" s="1" cm="1">
        <f t="array" ref="T90">R90/MAX(ABS($R$13:$R$113))</f>
        <v>-8.3144440870060121E-2</v>
      </c>
    </row>
    <row r="91" spans="4:20" x14ac:dyDescent="0.35">
      <c r="H91">
        <v>778.25199999999995</v>
      </c>
      <c r="I91">
        <v>0.575299</v>
      </c>
      <c r="J91">
        <f t="shared" si="5"/>
        <v>0.77825199999999994</v>
      </c>
      <c r="K91" s="1" cm="1">
        <f t="array" ref="K91">I91/MAX(ABS($I$13:$I$113))</f>
        <v>0.23062420576220771</v>
      </c>
      <c r="M91">
        <v>1.01352</v>
      </c>
      <c r="N91">
        <v>-2.49193</v>
      </c>
      <c r="O91">
        <f t="shared" si="6"/>
        <v>2.49193</v>
      </c>
      <c r="Q91">
        <v>779.51599999999996</v>
      </c>
      <c r="R91">
        <v>-9.5651200000000006E-2</v>
      </c>
      <c r="S91">
        <f t="shared" si="7"/>
        <v>0.77951599999999999</v>
      </c>
      <c r="T91" s="1" cm="1">
        <f t="array" ref="T91">R91/MAX(ABS($R$13:$R$113))</f>
        <v>-2.9586993640345449E-2</v>
      </c>
    </row>
    <row r="92" spans="4:20" x14ac:dyDescent="0.35">
      <c r="H92">
        <v>788.23599999999999</v>
      </c>
      <c r="I92">
        <v>0.60409599999999997</v>
      </c>
      <c r="J92">
        <f t="shared" si="5"/>
        <v>0.78823599999999994</v>
      </c>
      <c r="K92" s="1" cm="1">
        <f t="array" ref="K92">I92/MAX(ABS($I$13:$I$113))</f>
        <v>0.24216826416198639</v>
      </c>
      <c r="M92">
        <v>1.01352</v>
      </c>
      <c r="N92">
        <v>-2.49193</v>
      </c>
      <c r="O92">
        <f t="shared" si="6"/>
        <v>2.49193</v>
      </c>
      <c r="Q92">
        <v>789.51</v>
      </c>
      <c r="R92">
        <v>0.14361299999999999</v>
      </c>
      <c r="S92">
        <f t="shared" si="7"/>
        <v>0.78951000000000005</v>
      </c>
      <c r="T92" s="1" cm="1">
        <f t="array" ref="T92">R92/MAX(ABS($R$13:$R$113))</f>
        <v>4.4422620078691438E-2</v>
      </c>
    </row>
    <row r="93" spans="4:20" x14ac:dyDescent="0.35">
      <c r="H93">
        <v>798.21799999999996</v>
      </c>
      <c r="I93">
        <v>0.633768</v>
      </c>
      <c r="J93">
        <f t="shared" si="5"/>
        <v>0.79821799999999998</v>
      </c>
      <c r="K93" s="1" cm="1">
        <f t="array" ref="K93">I93/MAX(ABS($I$13:$I$113))</f>
        <v>0.25406309004100969</v>
      </c>
      <c r="M93">
        <v>1.01352</v>
      </c>
      <c r="N93">
        <v>-2.49193</v>
      </c>
      <c r="O93">
        <f t="shared" si="6"/>
        <v>2.49193</v>
      </c>
      <c r="Q93">
        <v>799.50400000000002</v>
      </c>
      <c r="R93">
        <v>0.37595400000000001</v>
      </c>
      <c r="S93">
        <f t="shared" si="7"/>
        <v>0.79950399999999999</v>
      </c>
      <c r="T93" s="1" cm="1">
        <f t="array" ref="T93">R93/MAX(ABS($R$13:$R$113))</f>
        <v>0.11629073767043627</v>
      </c>
    </row>
    <row r="94" spans="4:20" x14ac:dyDescent="0.35">
      <c r="H94">
        <v>808.2</v>
      </c>
      <c r="I94">
        <v>0.66383400000000004</v>
      </c>
      <c r="J94">
        <f t="shared" si="5"/>
        <v>0.80820000000000003</v>
      </c>
      <c r="K94" s="1" cm="1">
        <f t="array" ref="K94">I94/MAX(ABS($I$13:$I$113))</f>
        <v>0.26611586150497291</v>
      </c>
      <c r="M94">
        <v>1.01352</v>
      </c>
      <c r="N94">
        <v>-2.49193</v>
      </c>
      <c r="O94">
        <f t="shared" si="6"/>
        <v>2.49193</v>
      </c>
      <c r="Q94">
        <v>809.49699999999996</v>
      </c>
      <c r="R94">
        <v>0.53605599999999998</v>
      </c>
      <c r="S94">
        <f t="shared" si="7"/>
        <v>0.80949699999999991</v>
      </c>
      <c r="T94" s="1" cm="1">
        <f t="array" ref="T94">R94/MAX(ABS($R$13:$R$113))</f>
        <v>0.16581376357922345</v>
      </c>
    </row>
    <row r="95" spans="4:20" x14ac:dyDescent="0.35">
      <c r="H95">
        <v>818.18200000000002</v>
      </c>
      <c r="I95">
        <v>0.69372</v>
      </c>
      <c r="J95">
        <f t="shared" si="5"/>
        <v>0.81818199999999996</v>
      </c>
      <c r="K95" s="1" cm="1">
        <f t="array" ref="K95">I95/MAX(ABS($I$13:$I$113))</f>
        <v>0.27809647508749141</v>
      </c>
      <c r="M95">
        <v>1.01352</v>
      </c>
      <c r="N95">
        <v>-2.49193</v>
      </c>
      <c r="O95">
        <f t="shared" si="6"/>
        <v>2.49193</v>
      </c>
      <c r="Q95">
        <v>819.49</v>
      </c>
      <c r="R95">
        <v>0.58441900000000002</v>
      </c>
      <c r="S95">
        <f t="shared" si="7"/>
        <v>0.81949000000000005</v>
      </c>
      <c r="T95" s="1" cm="1">
        <f t="array" ref="T95">R95/MAX(ABS($R$13:$R$113))</f>
        <v>0.18077348989136621</v>
      </c>
    </row>
    <row r="96" spans="4:20" x14ac:dyDescent="0.35">
      <c r="H96">
        <v>828.16300000000001</v>
      </c>
      <c r="I96">
        <v>0.72274899999999997</v>
      </c>
      <c r="J96">
        <f t="shared" si="5"/>
        <v>0.82816299999999998</v>
      </c>
      <c r="K96" s="1" cm="1">
        <f t="array" ref="K96">I96/MAX(ABS($I$13:$I$113))</f>
        <v>0.28973353697890986</v>
      </c>
      <c r="M96">
        <v>1.01352</v>
      </c>
      <c r="N96">
        <v>-2.49193</v>
      </c>
      <c r="O96">
        <f t="shared" si="6"/>
        <v>2.49193</v>
      </c>
      <c r="Q96">
        <v>829.48299999999995</v>
      </c>
      <c r="R96">
        <v>0.51651100000000005</v>
      </c>
      <c r="S96">
        <f t="shared" si="7"/>
        <v>0.82948299999999997</v>
      </c>
      <c r="T96" s="1" cm="1">
        <f t="array" ref="T96">R96/MAX(ABS($R$13:$R$113))</f>
        <v>0.15976807057484349</v>
      </c>
    </row>
    <row r="97" spans="8:20" x14ac:dyDescent="0.35">
      <c r="H97">
        <v>838.14300000000003</v>
      </c>
      <c r="I97">
        <v>0.75012999999999996</v>
      </c>
      <c r="J97">
        <f t="shared" si="5"/>
        <v>0.83814300000000008</v>
      </c>
      <c r="K97" s="1" cm="1">
        <f t="array" ref="K97">I97/MAX(ABS($I$13:$I$113))</f>
        <v>0.300709953377991</v>
      </c>
      <c r="M97">
        <v>1.01352</v>
      </c>
      <c r="N97">
        <v>-2.49193</v>
      </c>
      <c r="O97">
        <f t="shared" si="6"/>
        <v>2.49193</v>
      </c>
      <c r="Q97">
        <v>839.476</v>
      </c>
      <c r="R97">
        <v>0.36102099999999998</v>
      </c>
      <c r="S97">
        <f t="shared" si="7"/>
        <v>0.839476</v>
      </c>
      <c r="T97" s="1" cm="1">
        <f t="array" ref="T97">R97/MAX(ABS($R$13:$R$113))</f>
        <v>0.11167163643562394</v>
      </c>
    </row>
    <row r="98" spans="8:20" x14ac:dyDescent="0.35">
      <c r="H98">
        <v>848.12300000000005</v>
      </c>
      <c r="I98">
        <v>0.77494300000000005</v>
      </c>
      <c r="J98">
        <f t="shared" si="5"/>
        <v>0.84812300000000007</v>
      </c>
      <c r="K98" s="1" cm="1">
        <f t="array" ref="K98">I98/MAX(ABS($I$13:$I$113))</f>
        <v>0.31065691733512929</v>
      </c>
      <c r="M98">
        <v>1.01352</v>
      </c>
      <c r="N98">
        <v>-2.49193</v>
      </c>
      <c r="O98">
        <f t="shared" si="6"/>
        <v>2.49193</v>
      </c>
      <c r="Q98">
        <v>849.47</v>
      </c>
      <c r="R98">
        <v>0.168712</v>
      </c>
      <c r="S98">
        <f t="shared" si="7"/>
        <v>0.84947000000000006</v>
      </c>
      <c r="T98" s="1" cm="1">
        <f t="array" ref="T98">R98/MAX(ABS($R$13:$R$113))</f>
        <v>5.2186285912251613E-2</v>
      </c>
    </row>
    <row r="99" spans="8:20" x14ac:dyDescent="0.35">
      <c r="H99">
        <v>858.10199999999998</v>
      </c>
      <c r="I99">
        <v>0.79613</v>
      </c>
      <c r="J99">
        <f t="shared" si="5"/>
        <v>0.85810199999999992</v>
      </c>
      <c r="K99" s="1" cm="1">
        <f t="array" ref="K99">I99/MAX(ABS($I$13:$I$113))</f>
        <v>0.31915030085827789</v>
      </c>
      <c r="M99">
        <v>1.01352</v>
      </c>
      <c r="N99">
        <v>-2.49194</v>
      </c>
      <c r="O99">
        <f t="shared" si="6"/>
        <v>2.49194</v>
      </c>
      <c r="Q99">
        <v>859.46400000000006</v>
      </c>
      <c r="R99">
        <v>-3.9971199999999998E-3</v>
      </c>
      <c r="S99">
        <f t="shared" si="7"/>
        <v>0.85946400000000001</v>
      </c>
      <c r="T99" s="1" cm="1">
        <f t="array" ref="T99">R99/MAX(ABS($R$13:$R$113))</f>
        <v>-1.2363960307836975E-3</v>
      </c>
    </row>
    <row r="100" spans="8:20" x14ac:dyDescent="0.35">
      <c r="H100">
        <v>868.08100000000002</v>
      </c>
      <c r="I100">
        <v>0.81248100000000001</v>
      </c>
      <c r="J100">
        <f t="shared" si="5"/>
        <v>0.86808099999999999</v>
      </c>
      <c r="K100" s="1" cm="1">
        <f t="array" ref="K100">I100/MAX(ABS($I$13:$I$113))</f>
        <v>0.32570504263328159</v>
      </c>
      <c r="M100">
        <v>1.01352</v>
      </c>
      <c r="N100">
        <v>-2.49194</v>
      </c>
      <c r="O100">
        <f t="shared" si="6"/>
        <v>2.49194</v>
      </c>
      <c r="Q100">
        <v>869.45899999999995</v>
      </c>
      <c r="R100">
        <v>-0.11144999999999999</v>
      </c>
      <c r="S100">
        <f t="shared" si="7"/>
        <v>0.86945899999999998</v>
      </c>
      <c r="T100" s="1" cm="1">
        <f t="array" ref="T100">R100/MAX(ABS($R$13:$R$113))</f>
        <v>-3.4473905619756995E-2</v>
      </c>
    </row>
    <row r="101" spans="8:20" x14ac:dyDescent="0.35">
      <c r="H101">
        <v>878.06</v>
      </c>
      <c r="I101">
        <v>0.82261899999999999</v>
      </c>
      <c r="J101">
        <f t="shared" si="5"/>
        <v>0.87805999999999995</v>
      </c>
      <c r="K101" s="1" cm="1">
        <f t="array" ref="K101">I101/MAX(ABS($I$13:$I$113))</f>
        <v>0.32976913486708914</v>
      </c>
      <c r="M101">
        <v>1.01352</v>
      </c>
      <c r="N101">
        <v>-2.49194</v>
      </c>
      <c r="O101">
        <f t="shared" si="6"/>
        <v>2.49194</v>
      </c>
      <c r="Q101">
        <v>879.45399999999995</v>
      </c>
      <c r="R101">
        <v>-0.13044500000000001</v>
      </c>
      <c r="S101">
        <f t="shared" si="7"/>
        <v>0.87945399999999996</v>
      </c>
      <c r="T101" s="1" cm="1">
        <f t="array" ref="T101">R101/MAX(ABS($R$13:$R$113))</f>
        <v>-4.0349471678503376E-2</v>
      </c>
    </row>
    <row r="102" spans="8:20" x14ac:dyDescent="0.35">
      <c r="H102">
        <v>888.03800000000001</v>
      </c>
      <c r="I102">
        <v>0.82499100000000003</v>
      </c>
      <c r="J102">
        <f t="shared" si="5"/>
        <v>0.88803799999999999</v>
      </c>
      <c r="K102" s="1" cm="1">
        <f t="array" ref="K102">I102/MAX(ABS($I$13:$I$113))</f>
        <v>0.33072001539368134</v>
      </c>
      <c r="M102">
        <v>1.01352</v>
      </c>
      <c r="N102">
        <v>-2.49194</v>
      </c>
      <c r="O102">
        <f t="shared" si="6"/>
        <v>2.49194</v>
      </c>
      <c r="Q102">
        <v>889.44799999999998</v>
      </c>
      <c r="R102">
        <v>-6.4352500000000007E-2</v>
      </c>
      <c r="S102">
        <f t="shared" si="7"/>
        <v>0.88944800000000002</v>
      </c>
      <c r="T102" s="1" cm="1">
        <f t="array" ref="T102">R102/MAX(ABS($R$13:$R$113))</f>
        <v>-1.9905625943431246E-2</v>
      </c>
    </row>
    <row r="103" spans="8:20" x14ac:dyDescent="0.35">
      <c r="H103">
        <v>898.01700000000005</v>
      </c>
      <c r="I103">
        <v>0.81786300000000001</v>
      </c>
      <c r="J103">
        <f t="shared" si="5"/>
        <v>0.89801700000000007</v>
      </c>
      <c r="K103" s="1" cm="1">
        <f t="array" ref="K103">I103/MAX(ABS($I$13:$I$113))</f>
        <v>0.32786256328847518</v>
      </c>
      <c r="M103">
        <v>1.01352</v>
      </c>
      <c r="N103">
        <v>-2.49194</v>
      </c>
      <c r="O103">
        <f t="shared" si="6"/>
        <v>2.49194</v>
      </c>
      <c r="Q103">
        <v>899.44299999999998</v>
      </c>
      <c r="R103">
        <v>6.0709699999999998E-2</v>
      </c>
      <c r="S103">
        <f t="shared" si="7"/>
        <v>0.89944299999999999</v>
      </c>
      <c r="T103" s="1" cm="1">
        <f t="array" ref="T103">R103/MAX(ABS($R$13:$R$113))</f>
        <v>1.8778828784241912E-2</v>
      </c>
    </row>
    <row r="104" spans="8:20" x14ac:dyDescent="0.35">
      <c r="H104">
        <v>907.99599999999998</v>
      </c>
      <c r="I104">
        <v>0.79930800000000002</v>
      </c>
      <c r="J104">
        <f t="shared" si="5"/>
        <v>0.90799600000000003</v>
      </c>
      <c r="K104" s="1" cm="1">
        <f t="array" ref="K104">I104/MAX(ABS($I$13:$I$113))</f>
        <v>0.32042428834289427</v>
      </c>
      <c r="M104">
        <v>1.01352</v>
      </c>
      <c r="N104">
        <v>-2.49194</v>
      </c>
      <c r="O104">
        <f t="shared" si="6"/>
        <v>2.49194</v>
      </c>
      <c r="Q104">
        <v>909.43700000000001</v>
      </c>
      <c r="R104">
        <v>0.20560999999999999</v>
      </c>
      <c r="S104">
        <f t="shared" si="7"/>
        <v>0.90943700000000005</v>
      </c>
      <c r="T104" s="1" cm="1">
        <f t="array" ref="T104">R104/MAX(ABS($R$13:$R$113))</f>
        <v>6.3599638712231815E-2</v>
      </c>
    </row>
    <row r="105" spans="8:20" x14ac:dyDescent="0.35">
      <c r="H105">
        <v>917.97500000000002</v>
      </c>
      <c r="I105">
        <v>0.76719899999999996</v>
      </c>
      <c r="J105">
        <f t="shared" si="5"/>
        <v>0.91797499999999999</v>
      </c>
      <c r="K105" s="1" cm="1">
        <f t="array" ref="K105">I105/MAX(ABS($I$13:$I$113))</f>
        <v>0.30755252492453483</v>
      </c>
      <c r="M105">
        <v>1.01352</v>
      </c>
      <c r="N105">
        <v>-2.49194</v>
      </c>
      <c r="O105">
        <f t="shared" si="6"/>
        <v>2.49194</v>
      </c>
      <c r="Q105">
        <v>919.43100000000004</v>
      </c>
      <c r="R105">
        <v>0.33036399999999999</v>
      </c>
      <c r="S105">
        <f t="shared" si="7"/>
        <v>0.919431</v>
      </c>
      <c r="T105" s="1" cm="1">
        <f t="array" ref="T105">R105/MAX(ABS($R$13:$R$113))</f>
        <v>0.10218876048600628</v>
      </c>
    </row>
    <row r="106" spans="8:20" x14ac:dyDescent="0.35">
      <c r="H106">
        <v>927.95500000000004</v>
      </c>
      <c r="I106">
        <v>0.71918099999999996</v>
      </c>
      <c r="J106">
        <f t="shared" si="5"/>
        <v>0.92795500000000009</v>
      </c>
      <c r="K106" s="1" cm="1">
        <f t="array" ref="K106">I106/MAX(ABS($I$13:$I$113))</f>
        <v>0.28830320741783017</v>
      </c>
      <c r="M106">
        <v>1.01352</v>
      </c>
      <c r="N106">
        <v>-2.49194</v>
      </c>
      <c r="O106">
        <f t="shared" si="6"/>
        <v>2.49194</v>
      </c>
      <c r="Q106">
        <v>929.42399999999998</v>
      </c>
      <c r="R106">
        <v>0.40496100000000002</v>
      </c>
      <c r="S106">
        <f t="shared" si="7"/>
        <v>0.92942400000000003</v>
      </c>
      <c r="T106" s="1" cm="1">
        <f t="array" ref="T106">R106/MAX(ABS($R$13:$R$113))</f>
        <v>0.1252632327831531</v>
      </c>
    </row>
    <row r="107" spans="8:20" x14ac:dyDescent="0.35">
      <c r="H107">
        <v>937.93700000000001</v>
      </c>
      <c r="I107">
        <v>0.65266299999999999</v>
      </c>
      <c r="J107">
        <f t="shared" si="5"/>
        <v>0.93793700000000002</v>
      </c>
      <c r="K107" s="1" cm="1">
        <f t="array" ref="K107">I107/MAX(ABS($I$13:$I$113))</f>
        <v>0.26163766320709714</v>
      </c>
      <c r="M107">
        <v>1.01352</v>
      </c>
      <c r="N107">
        <v>-2.49194</v>
      </c>
      <c r="O107">
        <f t="shared" si="6"/>
        <v>2.49194</v>
      </c>
      <c r="Q107">
        <v>939.41700000000003</v>
      </c>
      <c r="R107">
        <v>0.41601300000000002</v>
      </c>
      <c r="S107">
        <f t="shared" si="7"/>
        <v>0.93941700000000006</v>
      </c>
      <c r="T107" s="1" cm="1">
        <f t="array" ref="T107">R107/MAX(ABS($R$13:$R$113))</f>
        <v>0.12868185642523075</v>
      </c>
    </row>
    <row r="108" spans="8:20" x14ac:dyDescent="0.35">
      <c r="H108">
        <v>947.92</v>
      </c>
      <c r="I108">
        <v>0.56514699999999995</v>
      </c>
      <c r="J108">
        <f t="shared" si="5"/>
        <v>0.94791999999999998</v>
      </c>
      <c r="K108" s="1" cm="1">
        <f t="array" ref="K108">I108/MAX(ABS($I$13:$I$113))</f>
        <v>0.22655450124873219</v>
      </c>
      <c r="M108">
        <v>1.01352</v>
      </c>
      <c r="N108">
        <v>-2.49194</v>
      </c>
      <c r="O108">
        <f t="shared" si="6"/>
        <v>2.49194</v>
      </c>
      <c r="Q108">
        <v>949.41099999999994</v>
      </c>
      <c r="R108">
        <v>0.36795499999999998</v>
      </c>
      <c r="S108">
        <f t="shared" si="7"/>
        <v>0.94941099999999989</v>
      </c>
      <c r="T108" s="1" cm="1">
        <f t="array" ref="T108">R108/MAX(ABS($R$13:$R$113))</f>
        <v>0.11381647323748482</v>
      </c>
    </row>
    <row r="109" spans="8:20" x14ac:dyDescent="0.35">
      <c r="H109">
        <v>957.90499999999997</v>
      </c>
      <c r="I109">
        <v>0.45549299999999998</v>
      </c>
      <c r="J109">
        <f t="shared" si="5"/>
        <v>0.95790500000000001</v>
      </c>
      <c r="K109" s="1" cm="1">
        <f t="array" ref="K109">I109/MAX(ABS($I$13:$I$113))</f>
        <v>0.18259672162691967</v>
      </c>
      <c r="M109">
        <v>1.01352</v>
      </c>
      <c r="N109">
        <v>-2.49194</v>
      </c>
      <c r="O109">
        <f t="shared" si="6"/>
        <v>2.49194</v>
      </c>
      <c r="Q109">
        <v>959.404</v>
      </c>
      <c r="R109">
        <v>0.27932499999999999</v>
      </c>
      <c r="S109">
        <f t="shared" si="7"/>
        <v>0.95940400000000003</v>
      </c>
      <c r="T109" s="1" cm="1">
        <f t="array" ref="T109">R109/MAX(ABS($R$13:$R$113))</f>
        <v>8.6401289252926172E-2</v>
      </c>
    </row>
    <row r="110" spans="8:20" x14ac:dyDescent="0.35">
      <c r="H110">
        <v>967.89300000000003</v>
      </c>
      <c r="I110">
        <v>0.32676500000000003</v>
      </c>
      <c r="J110">
        <f t="shared" si="5"/>
        <v>0.967893</v>
      </c>
      <c r="K110" s="1" cm="1">
        <f t="array" ref="K110">I110/MAX(ABS($I$13:$I$113))</f>
        <v>0.13099261183469432</v>
      </c>
      <c r="M110">
        <v>1.01352</v>
      </c>
      <c r="N110">
        <v>-2.49194</v>
      </c>
      <c r="O110">
        <f t="shared" si="6"/>
        <v>2.49194</v>
      </c>
      <c r="Q110">
        <v>969.39800000000002</v>
      </c>
      <c r="R110">
        <v>0.175954</v>
      </c>
      <c r="S110">
        <f t="shared" si="7"/>
        <v>0.96939799999999998</v>
      </c>
      <c r="T110" s="1" cm="1">
        <f t="array" ref="T110">R110/MAX(ABS($R$13:$R$113))</f>
        <v>5.4426393803667317E-2</v>
      </c>
    </row>
    <row r="111" spans="8:20" x14ac:dyDescent="0.35">
      <c r="H111">
        <v>977.88199999999995</v>
      </c>
      <c r="I111">
        <v>0.189774</v>
      </c>
      <c r="J111">
        <f t="shared" si="5"/>
        <v>0.97788199999999992</v>
      </c>
      <c r="K111" s="1" cm="1">
        <f t="array" ref="K111">I111/MAX(ABS($I$13:$I$113))</f>
        <v>7.6076054407042598E-2</v>
      </c>
      <c r="M111">
        <v>1.01352</v>
      </c>
      <c r="N111">
        <v>-2.49194</v>
      </c>
      <c r="O111">
        <f t="shared" si="6"/>
        <v>2.49194</v>
      </c>
      <c r="Q111">
        <v>979.39200000000005</v>
      </c>
      <c r="R111">
        <v>8.3505200000000002E-2</v>
      </c>
      <c r="S111">
        <f t="shared" si="7"/>
        <v>0.97939200000000004</v>
      </c>
      <c r="T111" s="1" cm="1">
        <f t="array" ref="T111">R111/MAX(ABS($R$13:$R$113))</f>
        <v>2.582997203731657E-2</v>
      </c>
    </row>
    <row r="112" spans="8:20" x14ac:dyDescent="0.35">
      <c r="H112">
        <v>987.87099999999998</v>
      </c>
      <c r="I112">
        <v>6.0634199999999999E-2</v>
      </c>
      <c r="J112">
        <f t="shared" si="5"/>
        <v>0.98787099999999994</v>
      </c>
      <c r="K112" s="1" cm="1">
        <f t="array" ref="K112">I112/MAX(ABS($I$13:$I$113))</f>
        <v>2.4306863417156738E-2</v>
      </c>
      <c r="M112">
        <v>1.01352</v>
      </c>
      <c r="N112">
        <v>-2.49194</v>
      </c>
      <c r="O112">
        <f t="shared" si="6"/>
        <v>2.49194</v>
      </c>
      <c r="Q112">
        <v>989.38699999999994</v>
      </c>
      <c r="R112">
        <v>2.1488799999999999E-2</v>
      </c>
      <c r="S112">
        <f t="shared" si="7"/>
        <v>0.98938699999999991</v>
      </c>
      <c r="T112" s="1" cm="1">
        <f t="array" ref="T112">R112/MAX(ABS($R$13:$R$113))</f>
        <v>6.6469525624211221E-3</v>
      </c>
    </row>
    <row r="113" spans="8:20" x14ac:dyDescent="0.35">
      <c r="H113">
        <v>997.85799999999995</v>
      </c>
      <c r="I113" s="1">
        <v>0</v>
      </c>
      <c r="J113">
        <f t="shared" si="5"/>
        <v>0.99785799999999991</v>
      </c>
      <c r="K113" s="1" cm="1">
        <f t="array" ref="K113">I113/MAX(ABS($I$13:$I$113))</f>
        <v>0</v>
      </c>
      <c r="M113">
        <v>1.01352</v>
      </c>
      <c r="N113">
        <v>-2.49194</v>
      </c>
      <c r="O113">
        <f t="shared" si="6"/>
        <v>2.49194</v>
      </c>
      <c r="Q113">
        <v>999.38099999999997</v>
      </c>
      <c r="R113" s="1">
        <v>0</v>
      </c>
      <c r="S113">
        <f t="shared" si="7"/>
        <v>0.99938099999999996</v>
      </c>
      <c r="T113" s="1" cm="1">
        <f t="array" ref="T113">R113/MAX(ABS($R$13:$R$113))</f>
        <v>0</v>
      </c>
    </row>
  </sheetData>
  <pageMargins left="0.7" right="0.7" top="0.75" bottom="0.75" header="0.3" footer="0.3"/>
  <drawing r:id="rId1"/>
</worksheet>
</file>